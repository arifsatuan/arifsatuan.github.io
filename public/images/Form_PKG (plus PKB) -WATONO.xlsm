
<file path=[Content_Types].xml><?xml version="1.0" encoding="utf-8"?>
<Types xmlns="http://schemas.openxmlformats.org/package/2006/content-types">
  <Default Extension="xml" ContentType="application/xml"/>
  <Default Extension="vml" ContentType="application/vnd.openxmlformats-officedocument.vmlDrawing"/>
  <Default Extension="png" ContentType="image/png"/>
  <Default Extension="emf" ContentType="image/x-emf"/>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showSheetTabs="0" windowWidth="20490" windowHeight="7875"/>
  </bookViews>
  <sheets>
    <sheet name="IDENTITAS" sheetId="20" r:id="rId1"/>
    <sheet name="COVER" sheetId="23" r:id="rId2"/>
    <sheet name="SETUJU" sheetId="24" r:id="rId3"/>
    <sheet name="FORMAT 1C" sheetId="21" r:id="rId4"/>
    <sheet name="FORMAT 1D" sheetId="22" r:id="rId5"/>
    <sheet name="KOMP-14" sheetId="16" r:id="rId6"/>
    <sheet name="KOMP-13" sheetId="15" r:id="rId7"/>
    <sheet name="KOMP-12" sheetId="14" r:id="rId8"/>
    <sheet name="KOMP-11" sheetId="13" r:id="rId9"/>
    <sheet name="KOMP-10" sheetId="12" r:id="rId10"/>
    <sheet name="KOMP-9" sheetId="11" r:id="rId11"/>
    <sheet name="KOMP-8" sheetId="10" r:id="rId12"/>
    <sheet name="KOMP-7" sheetId="9" r:id="rId13"/>
    <sheet name="KOMP-6" sheetId="8" r:id="rId14"/>
    <sheet name="KOMP-5" sheetId="7" r:id="rId15"/>
    <sheet name="KOMP-4" sheetId="6" r:id="rId16"/>
    <sheet name="KOMP-3" sheetId="5" r:id="rId17"/>
    <sheet name="KOMP-2" sheetId="4" r:id="rId18"/>
    <sheet name="KOMP-1" sheetId="1" r:id="rId19"/>
  </sheets>
  <definedNames>
    <definedName name="AKK">#REF!</definedName>
    <definedName name="Jenj">'FORMAT 1D'!$S$3:$S$11</definedName>
    <definedName name="JENJANG">'FORMAT 1D'!$S$2:$T$11</definedName>
    <definedName name="JENJANG_JABATAN">#REF!</definedName>
    <definedName name="_xlnm.Print_Area" localSheetId="1">COVER!$A$1:$I$41</definedName>
    <definedName name="_xlnm.Print_Area" localSheetId="3">'FORMAT 1C'!$A$1:$L$50</definedName>
    <definedName name="_xlnm.Print_Area" localSheetId="4">'FORMAT 1D'!$A$1:$L$42</definedName>
    <definedName name="_xlnm.Print_Area" localSheetId="18">'KOMP-1'!$A$1:$J$25</definedName>
    <definedName name="_xlnm.Print_Area" localSheetId="9">'KOMP-10'!$A$1:$J$27</definedName>
    <definedName name="_xlnm.Print_Area" localSheetId="8">'KOMP-11'!$A$1:$J$22</definedName>
    <definedName name="_xlnm.Print_Area" localSheetId="7">'KOMP-12'!$A$1:$J$22</definedName>
    <definedName name="_xlnm.Print_Area" localSheetId="6">'KOMP-13'!$A$1:$J$22</definedName>
    <definedName name="_xlnm.Print_Area" localSheetId="5">'KOMP-14'!$A$1:$J$25</definedName>
    <definedName name="_xlnm.Print_Area" localSheetId="17">'KOMP-2'!$A$1:$J$25</definedName>
    <definedName name="_xlnm.Print_Area" localSheetId="16">'KOMP-3'!$A$1:$J$23</definedName>
    <definedName name="_xlnm.Print_Area" localSheetId="15">'KOMP-4'!$A$1:$J$29</definedName>
    <definedName name="_xlnm.Print_Area" localSheetId="14">'KOMP-5'!$A$1:$J$26</definedName>
    <definedName name="_xlnm.Print_Area" localSheetId="13">'KOMP-6'!$A$1:$J$25</definedName>
    <definedName name="_xlnm.Print_Area" localSheetId="12">'KOMP-7'!$A$1:$J$24</definedName>
    <definedName name="_xlnm.Print_Area" localSheetId="11">'KOMP-8'!$A$1:$J$24</definedName>
    <definedName name="_xlnm.Print_Area" localSheetId="10">'KOMP-9'!$A$1:$J$24</definedName>
    <definedName name="_xlnm.Print_Area" localSheetId="2">SETUJU!$A$1:$H$24</definedName>
  </definedNames>
  <calcPr calcId="144525"/>
</workbook>
</file>

<file path=xl/comments1.xml><?xml version="1.0" encoding="utf-8"?>
<comments xmlns="http://schemas.openxmlformats.org/spreadsheetml/2006/main">
  <authors>
    <author>My</author>
  </authors>
  <commentList>
    <comment ref="S7" authorId="0">
      <text>
        <r>
          <rPr>
            <b/>
            <sz val="9"/>
            <rFont val="Tahoma"/>
            <charset val="134"/>
          </rPr>
          <t>TULIS LENGKAP DENGAN GELAR</t>
        </r>
      </text>
    </comment>
    <comment ref="G9" authorId="0">
      <text>
        <r>
          <rPr>
            <b/>
            <sz val="9"/>
            <rFont val="Tahoma"/>
            <charset val="134"/>
          </rPr>
          <t>TULIS LENGKAP DENGAN GELAR</t>
        </r>
      </text>
    </comment>
    <comment ref="S9" authorId="0">
      <text>
        <r>
          <rPr>
            <sz val="9"/>
            <rFont val="Tahoma"/>
            <charset val="134"/>
          </rPr>
          <t xml:space="preserve">WAJIB DIISI !
CONTOH : 19750904 200604 1 006
</t>
        </r>
      </text>
    </comment>
    <comment ref="W9" authorId="0">
      <text>
        <r>
          <rPr>
            <b/>
            <sz val="9"/>
            <rFont val="Tahoma"/>
            <charset val="134"/>
          </rPr>
          <t>Contoh : N.XXXXXX</t>
        </r>
      </text>
    </comment>
    <comment ref="G11" authorId="0">
      <text>
        <r>
          <rPr>
            <sz val="9"/>
            <rFont val="Tahoma"/>
            <charset val="134"/>
          </rPr>
          <t xml:space="preserve">WAJIB DIISI !
CONTOH : 19750904 200604 1 006
</t>
        </r>
      </text>
    </comment>
    <comment ref="G35" authorId="0">
      <text>
        <r>
          <rPr>
            <b/>
            <sz val="9"/>
            <rFont val="Tahoma"/>
            <charset val="134"/>
          </rPr>
          <t>TULIS LENGKAP DENGAN GELAR</t>
        </r>
      </text>
    </comment>
    <comment ref="G37" authorId="0">
      <text>
        <r>
          <rPr>
            <sz val="9"/>
            <rFont val="Tahoma"/>
            <charset val="134"/>
          </rPr>
          <t xml:space="preserve">WAJIB DIISI !
CONTOH : 19750904 200604 1 006
</t>
        </r>
      </text>
    </comment>
  </commentList>
</comments>
</file>

<file path=xl/comments2.xml><?xml version="1.0" encoding="utf-8"?>
<comments xmlns="http://schemas.openxmlformats.org/spreadsheetml/2006/main">
  <authors>
    <author>Acer</author>
  </authors>
  <commentList>
    <comment ref="N23" authorId="0">
      <text>
        <r>
          <rPr>
            <b/>
            <sz val="9"/>
            <rFont val="Tahoma"/>
            <charset val="134"/>
          </rPr>
          <t>Keterangan:</t>
        </r>
        <r>
          <rPr>
            <sz val="9"/>
            <rFont val="Tahoma"/>
            <charset val="134"/>
          </rPr>
          <t xml:space="preserve">
Diisi sesuai dengan golongan Guru yang dinilai PKGnya</t>
        </r>
      </text>
    </comment>
  </commentList>
</comments>
</file>

<file path=xl/comments3.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4.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5.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6.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7.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8.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9.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10.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11.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12.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13.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14.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comments15.xml><?xml version="1.0" encoding="utf-8"?>
<comments xmlns="http://schemas.openxmlformats.org/spreadsheetml/2006/main">
  <authors>
    <author>My</author>
  </authors>
  <commentList>
    <comment ref="H3" authorId="0">
      <text>
        <r>
          <rPr>
            <b/>
            <sz val="9"/>
            <rFont val="Tahoma"/>
            <charset val="134"/>
          </rPr>
          <t>Tidak ada bukti (Tidak terpenuhi)</t>
        </r>
      </text>
    </comment>
    <comment ref="I3" authorId="0">
      <text>
        <r>
          <rPr>
            <b/>
            <sz val="9"/>
            <rFont val="Tahoma"/>
            <charset val="134"/>
          </rPr>
          <t>Terpenuhi sebagian</t>
        </r>
      </text>
    </comment>
    <comment ref="J3" authorId="0">
      <text>
        <r>
          <rPr>
            <b/>
            <sz val="9"/>
            <rFont val="Tahoma"/>
            <charset val="134"/>
          </rPr>
          <t>Seluruhnya terpenuhi</t>
        </r>
      </text>
    </comment>
  </commentList>
</comments>
</file>

<file path=xl/sharedStrings.xml><?xml version="1.0" encoding="utf-8"?>
<sst xmlns="http://schemas.openxmlformats.org/spreadsheetml/2006/main" count="705" uniqueCount="321">
  <si>
    <t>PROGRAM INI DIRANCANG UNTUK MEMPERMUDAH ASESOR DALAM RANGKA PENILAIAN KINERJA GURU</t>
  </si>
  <si>
    <t>DIISI YANG BERWARNA PUTIH</t>
  </si>
  <si>
    <t>TANGGAL PENILAIAN :</t>
  </si>
  <si>
    <t>20 September 2019</t>
  </si>
  <si>
    <t>PERIODE PENILAIAN :</t>
  </si>
  <si>
    <t>Januari 2019 s/d  Desember 2019</t>
  </si>
  <si>
    <t>JUMLAH JAM/MINGGU</t>
  </si>
  <si>
    <t>JAM</t>
  </si>
  <si>
    <t>DATA SEKOLAH</t>
  </si>
  <si>
    <t>DATA GURU</t>
  </si>
  <si>
    <t>tgl sekarang</t>
  </si>
  <si>
    <t>NUPTK</t>
  </si>
  <si>
    <t>:</t>
  </si>
  <si>
    <t>NPSN/NSS</t>
  </si>
  <si>
    <t>20100277/201016002025</t>
  </si>
  <si>
    <t>Nama</t>
  </si>
  <si>
    <t>KHARISMA MEI RESIWATI, S.Pd.</t>
  </si>
  <si>
    <t>Nama Kepala Sekolah</t>
  </si>
  <si>
    <t>BAHRUDIN,S.Pd, M.M</t>
  </si>
  <si>
    <t>N I P / KARPEG</t>
  </si>
  <si>
    <t>/</t>
  </si>
  <si>
    <t>NIP Kepala Sekolah</t>
  </si>
  <si>
    <t>196307191989031007</t>
  </si>
  <si>
    <t>Tempat/Tanggal Lahir</t>
  </si>
  <si>
    <t>Cilacap, 12 Mei 1991</t>
  </si>
  <si>
    <t>Nama Instansi/Sekolah</t>
  </si>
  <si>
    <t>SMPN 5 JAKARTA</t>
  </si>
  <si>
    <t>Pangkat/Jabatan/Golongan</t>
  </si>
  <si>
    <t>Guru Pertama, Penata Muda, III/a</t>
  </si>
  <si>
    <t>Telp / Fax</t>
  </si>
  <si>
    <t>021 - 3844986</t>
  </si>
  <si>
    <t>TMT sebagai guru</t>
  </si>
  <si>
    <t>Desa/Kelurahan</t>
  </si>
  <si>
    <t>Pasar  Baru</t>
  </si>
  <si>
    <t>Masa Kerja</t>
  </si>
  <si>
    <t>Kecamatan</t>
  </si>
  <si>
    <t>Sawah Besar</t>
  </si>
  <si>
    <t>Jenis Kelamin</t>
  </si>
  <si>
    <t>Perempuan</t>
  </si>
  <si>
    <t>Kabupaten/Kota</t>
  </si>
  <si>
    <t>Jakarta - Pusat</t>
  </si>
  <si>
    <t>Pendidikan Terakhir/Spesialisasi</t>
  </si>
  <si>
    <t>S1 Pendidikan  Matematika</t>
  </si>
  <si>
    <t>Provinsi</t>
  </si>
  <si>
    <t>DKI JAKARTA</t>
  </si>
  <si>
    <t>Program Keahlian yang diampu</t>
  </si>
  <si>
    <t>Matematika</t>
  </si>
  <si>
    <t>KOMPETENSI YANG DINILAI</t>
  </si>
  <si>
    <t>Laki-laki</t>
  </si>
  <si>
    <t>Guru Pertama, Penata Muda Tk. I, III/b</t>
  </si>
  <si>
    <t>Guru Muda, Penata, III/c</t>
  </si>
  <si>
    <t>Guru Muda, Penata Tk. I, III/d</t>
  </si>
  <si>
    <t>Guru Madya,  Pembina, IV/a</t>
  </si>
  <si>
    <t>Guru Madya, Pembina Tk. I, IV/b</t>
  </si>
  <si>
    <t>Guru Madya, Pembina Utama Muda, IV/c</t>
  </si>
  <si>
    <t>Guru Utama, Pembina Utama Madya, IV/d</t>
  </si>
  <si>
    <t>Guru Utama, Pembina Utama, IV/e</t>
  </si>
  <si>
    <t>NAMA ASSESOR</t>
  </si>
  <si>
    <t>BAHRUDIN,S.Pd,M.M</t>
  </si>
  <si>
    <t>NIP ASSESOR</t>
  </si>
  <si>
    <t>TAHUN PELAJARAN</t>
  </si>
  <si>
    <t>2019 / 2020</t>
  </si>
  <si>
    <t>PERANGKAT</t>
  </si>
  <si>
    <t>PENILAIAN KINERJA GURU</t>
  </si>
  <si>
    <t>(PKG)</t>
  </si>
  <si>
    <t>Nama Guru</t>
  </si>
  <si>
    <t>NIP</t>
  </si>
  <si>
    <t>LAPORAN DAN EVALUASI</t>
  </si>
  <si>
    <t>PENILAIAN KINERJA GURU MATA PELAJARAN</t>
  </si>
  <si>
    <t>NIP / KARPEG</t>
  </si>
  <si>
    <t>Nama Sekolah</t>
  </si>
  <si>
    <t>Alamat</t>
  </si>
  <si>
    <t>-</t>
  </si>
  <si>
    <t>Kabupaten</t>
  </si>
  <si>
    <t>Tanggal mulai bekerja di sekolah ini</t>
  </si>
  <si>
    <t>Periode Penilaian</t>
  </si>
  <si>
    <t>PERSETUJUAN</t>
  </si>
  <si>
    <t>Penilai dan guru yang dinilai menyatakan telah membaca dan memahami semua aspek yang ditulis/dilaporkan dalam format ini dan menyetujuinya.</t>
  </si>
  <si>
    <t>Nama Penilai</t>
  </si>
  <si>
    <t>Tanda Tangan</t>
  </si>
  <si>
    <t>Tanggal</t>
  </si>
  <si>
    <t>FORMAT 1C</t>
  </si>
  <si>
    <t>REKAP HASIL PENILAIAN KINERGA GURU KELAS/MATA PELAJARAN</t>
  </si>
  <si>
    <t>a.</t>
  </si>
  <si>
    <t>N I P</t>
  </si>
  <si>
    <t>b.</t>
  </si>
  <si>
    <t>PERIODE PENILAIAN</t>
  </si>
  <si>
    <t>Formatif</t>
  </si>
  <si>
    <t>v</t>
  </si>
  <si>
    <t>TAHUN</t>
  </si>
  <si>
    <t>Sumatif</t>
  </si>
  <si>
    <t>Kemajuan</t>
  </si>
  <si>
    <t>NO</t>
  </si>
  <si>
    <t>KOMPETENSI</t>
  </si>
  <si>
    <t>NILAI</t>
  </si>
  <si>
    <t>1.</t>
  </si>
  <si>
    <t>Menguasai karakteristik peserta didik</t>
  </si>
  <si>
    <t>Penilaiaan Kompetensi 1 :Menguasai karakteristik peserta didik</t>
  </si>
  <si>
    <t>2.</t>
  </si>
  <si>
    <t>Menguasai teori belajar dan prinsip-prinsip pembelajaran yang mendidik</t>
  </si>
  <si>
    <t>Penilaian Kompetensi 2 : Menguasai teori belajar dan prinsip-prinsip pembelajaran yang mendidik</t>
  </si>
  <si>
    <t>3.</t>
  </si>
  <si>
    <t>Pengembangan kurikulum</t>
  </si>
  <si>
    <t>Penilaian Kompetensi 3 : Pengembangan kurikulum</t>
  </si>
  <si>
    <t>4.</t>
  </si>
  <si>
    <t>Kegiatan pembelajaran yang mendidik</t>
  </si>
  <si>
    <t>Penilaian Kompetensi 4 : Kegiatan pembelajaran yang mendidik</t>
  </si>
  <si>
    <t>5.</t>
  </si>
  <si>
    <t>Pengembangan potensi anak didik</t>
  </si>
  <si>
    <t>Penilaian Kompetensi 5 : Pengembangan potensi anak didik</t>
  </si>
  <si>
    <t>6.</t>
  </si>
  <si>
    <t>Komunikasi dengan peserta didik</t>
  </si>
  <si>
    <t>Penilaian Kompetensi 6 : Komunikasi dengan peserta didik</t>
  </si>
  <si>
    <t>7.</t>
  </si>
  <si>
    <t>Penilaian dan evaluasi</t>
  </si>
  <si>
    <t>Penilaian Kompetensi 7 : Penilaian dan evaluasi</t>
  </si>
  <si>
    <t>8.</t>
  </si>
  <si>
    <t>Bertindak sesuai dengan norma agama, hukum, sosial dan kebudayaan nasional</t>
  </si>
  <si>
    <t>Penilaian Kompetensi 8 : Bertindak sesuai dengan norma agama, hukum, sosial dan kebudayaan nasional</t>
  </si>
  <si>
    <t>9.</t>
  </si>
  <si>
    <t>Menunjukkan pribadi yang  dewasa dan teladan</t>
  </si>
  <si>
    <t>Penilaian Kompetensi 9 : Menunjukkan pribadi yang  dewasa dan teladan</t>
  </si>
  <si>
    <t>10.</t>
  </si>
  <si>
    <t>Etos kerja, tanggung jawab yang tinggi, rasa bangga menjadi guru</t>
  </si>
  <si>
    <t>Penilaian Kompetensi 10 : Etos kerja, tanggung jawab yang tinggi, rasa bangga menjadi guru</t>
  </si>
  <si>
    <t>11.</t>
  </si>
  <si>
    <t>Bersikap inklusif, bertindak obyektif, serta tidak diskriminatif</t>
  </si>
  <si>
    <t>Penilaian Kompetensi 11 : Bersikap inklusif, bertindak obyektif, serta tidak diskriminatif</t>
  </si>
  <si>
    <t>12.</t>
  </si>
  <si>
    <t>Komunikasi dengan sesama guru, tenaga kependidikan, orang tua, peserta didik dan masyarakat</t>
  </si>
  <si>
    <t>Penilaian Kompetensi 12 : Komunikasi dengan sesama guru, tenaga kependidikan, orang tua, peserta didik dan masyarakat</t>
  </si>
  <si>
    <t>13.</t>
  </si>
  <si>
    <t>Penguasaan materi, struktur, konsep dan pola pikir keilmuan yang mendukung mata pelajaran yang diampu</t>
  </si>
  <si>
    <t>Penilaian Kompetensi 13 : Penguasaan materi, struktur, konsep dan pola pikir keilmuan yang mendukung mata pelajaran yang diampu</t>
  </si>
  <si>
    <t>14.</t>
  </si>
  <si>
    <t>Mengembangkan keprofesionalan melalaui tindakan yang reflektif</t>
  </si>
  <si>
    <t>Penilaian Kompetensi 14 : Mengembangkan keprofesionalan melalaui tindakan yang reflektif</t>
  </si>
  <si>
    <t xml:space="preserve">    Jumlah (Hasil penilaian kinerja guru)</t>
  </si>
  <si>
    <t>Jakarta,</t>
  </si>
  <si>
    <t>GURU YANG DINILAI</t>
  </si>
  <si>
    <t>PENILAI</t>
  </si>
  <si>
    <t>KEPALA SEKOLAH</t>
  </si>
  <si>
    <t>FORMAT 1D</t>
  </si>
  <si>
    <t>JENJANG JABATAN</t>
  </si>
  <si>
    <t>AKK</t>
  </si>
  <si>
    <t>AKPKB</t>
  </si>
  <si>
    <t>AKP</t>
  </si>
  <si>
    <t>Nilai PK GURU Kelas/Mata Pelajaran</t>
  </si>
  <si>
    <t>Isikan Golongan</t>
  </si>
  <si>
    <t>KENAIKAN KE</t>
  </si>
  <si>
    <t>Akpbm</t>
  </si>
  <si>
    <t>AKP (Max)</t>
  </si>
  <si>
    <t>Konversi nilai PK GURU ke dalam skala 0 – 100 sesuai Permenneg PAN &amp; RB No. 16 Tahun 2009 dengan rumus</t>
  </si>
  <si>
    <t>PD</t>
  </si>
  <si>
    <t>PI</t>
  </si>
  <si>
    <t>KI</t>
  </si>
  <si>
    <t>Nilai PKG (100) =</t>
  </si>
  <si>
    <t>Nilai PKG</t>
  </si>
  <si>
    <t>x 100</t>
  </si>
  <si>
    <t>III a ke III b</t>
  </si>
  <si>
    <t>Nilai PKG tertinggi</t>
  </si>
  <si>
    <t>III b ke III c</t>
  </si>
  <si>
    <t>Berdasarkan hasil konversi ke dalam skala nilai sesuai dengan peraturan tersebut, selanjutnya ditetapkan sebutan dan persentase angka kreditnya</t>
  </si>
  <si>
    <t>Diisi sesuai dengan golongan Guru yang dinilai PKGnya</t>
  </si>
  <si>
    <t>III c ke III d</t>
  </si>
  <si>
    <t>III d ke IV a</t>
  </si>
  <si>
    <t>Perolehan anga kredit (untuk pembelajaran) yang dihitung berdasarkan rumus berikut ini</t>
  </si>
  <si>
    <t>IV a ke IV b</t>
  </si>
  <si>
    <t>IV b ke IV c</t>
  </si>
  <si>
    <t>Angka Kredit satu tahun =</t>
  </si>
  <si>
    <t>(AKK - AKPKB - AKP) X (JM/JWM) X NPK</t>
  </si>
  <si>
    <t>IV c ke IV d</t>
  </si>
  <si>
    <t>IV d ke IV e</t>
  </si>
  <si>
    <t>KOSONG</t>
  </si>
  <si>
    <t>Isi dengan perolehan</t>
  </si>
  <si>
    <t>Penilaian untuk Kompetensi 14 : Mengembangkan keprofesian melalui tindakan reflektif</t>
  </si>
  <si>
    <t>Indikator</t>
  </si>
  <si>
    <t>Skor</t>
  </si>
  <si>
    <t>Guru melakukan  evaluasi  diri  secara  spesifik,  lengkap, dan didukung dengan contoh pengalaman diri sendiri.</t>
  </si>
  <si>
    <t>V</t>
  </si>
  <si>
    <t>Guru memiliki jurnal pembelajaran, catatan masukan dari kolega atau hasil penilaian proses pembelajaran sebagai bukti yang menggambarkan kinerjanya.</t>
  </si>
  <si>
    <t>Guru   memanfaatkan   bukti   gambaran   kinerjanya   untuk mengembangkan perencanaan dan pelaksanaan pembelajaran selanjutnya   dalam   program   Pengembangan   Keprofesian Berkelanjutan (PKB).</t>
  </si>
  <si>
    <t>Guru dapat mengaplikasikan pengalaman PKB dalam perencanaan, pelaksanaan, penilaian pembelajaran dan tindak lanjutnya.</t>
  </si>
  <si>
    <t>Guru melakukan  penelitian,  mengembangkan  karya  inovasi, mengikuti kegiatan ilmiah (misalnya seminar, konferensi), dan aktif dalam melaksanakan PKB.</t>
  </si>
  <si>
    <t>Guru dapat  memanfaatkan TIK dalam berkomunikasi dan pelaksanaan PKB</t>
  </si>
  <si>
    <t>Total skor kompetensi 14</t>
  </si>
  <si>
    <t>Skor maksimum kompetensi 14 = jumlah indikator x 2</t>
  </si>
  <si>
    <t>Persentase = (total skor/12) x 100%</t>
  </si>
  <si>
    <t>Nilai untuk kompetensi 14</t>
  </si>
  <si>
    <r>
      <rPr>
        <sz val="11"/>
        <color theme="1"/>
        <rFont val="Arial"/>
        <charset val="134"/>
      </rPr>
      <t>(0% &lt; X ≤ 25% = 1; 25% &lt; X ≤ 50%= 2 ;                                                       50% &lt; X ≤ 75% = 3; 75 &lt; X ≤ 100</t>
    </r>
    <r>
      <rPr>
        <strike/>
        <sz val="11"/>
        <color indexed="8"/>
        <rFont val="Arial"/>
        <charset val="134"/>
      </rPr>
      <t xml:space="preserve"> = 4)</t>
    </r>
  </si>
  <si>
    <t>Penilaian untuk Kompetensi 13: Penguasaan materi struktur konsep dan pola pikir keilmuan yang mendukung mata pelajaran yang diampu</t>
  </si>
  <si>
    <t>Guru melakukan pemetaan standar kompetensi dan kompetensi dasar   untuk   mata   pelajaran   yang   diampunya,   untuk mengidentifikasi  materi  pembelajaran  yang  dianggap  sulit, melakukan perencanaan dan pelaksanaan pembelajaran, dan memperkirakan alokasi waktu yang diperlukan.</t>
  </si>
  <si>
    <t>Guru menyertakan informasi yang tepat dan mutakhir di dalam perencanaan dan pelaksanaan pembelajaran.</t>
  </si>
  <si>
    <t>Guru   menyusun   materi,   perencanaan   dan pelaksanaan pembelajaran yang berisi informasi yang tepat, mutakhir, dan yang membantu  peserta  didik  untuk  memahami  konsep  materi pembelajaran.</t>
  </si>
  <si>
    <t>Total skor kompetensi 13</t>
  </si>
  <si>
    <t>Skor maksimum kompetensi 13 = jumlah indikator x 2</t>
  </si>
  <si>
    <t>Persentase = (total skor/6) x 100%</t>
  </si>
  <si>
    <t>Nilai untuk kompetensi 13</t>
  </si>
  <si>
    <r>
      <rPr>
        <sz val="11"/>
        <color theme="1"/>
        <rFont val="Arial"/>
        <charset val="134"/>
      </rPr>
      <t>(0% &lt; X ≤ 25% = 1; 25% &lt; X ≤ 50%= 2 ;                                                               50% &lt; X ≤ 75% = 3; 75 &lt; X ≤ 100</t>
    </r>
    <r>
      <rPr>
        <strike/>
        <sz val="11"/>
        <color indexed="8"/>
        <rFont val="Arial"/>
        <charset val="134"/>
      </rPr>
      <t xml:space="preserve"> = 4)</t>
    </r>
  </si>
  <si>
    <t>Penilaian untuk Kompetensi 12 : Komunikasi dengan sesama guru, tenaga pendidikan, orang tua peserta didik, dan masyarakat</t>
  </si>
  <si>
    <t>Guru menyampaikan informasi tentang kemajuan, kesulitan, dan potensi peserta didik kepada orang tuanya, baik dalam pertemuan formal maupun tidak formal antara guru dan orang tua, teman sejawat, dan dapat menunjukkan buktinya.</t>
  </si>
  <si>
    <t>Guru ikut berperan aktif dalam kegiatan di luar pembelajaran yang diselenggarakan  oleh  sekolah  dan  masyarakat  dan  dapat memberikan bukti keikutsertaannya.</t>
  </si>
  <si>
    <t>Guru memperhatikan sekolah sebagai bagian dari masyarakat, berkomunikasi dengan masyarakat sekitar, serta berperan dalam  kegiatan sosial di masyarakat.</t>
  </si>
  <si>
    <t>Total skor kompetensi 12</t>
  </si>
  <si>
    <t>Skor maksimum kompetensi 12 = jumlah indikator x 2</t>
  </si>
  <si>
    <t>Nilai untuk kompetensi 12</t>
  </si>
  <si>
    <t>Penilaian untuk Kompetensi 11: Bersikap inklusif, bertindak obyektif, serta tidak diskriminatif</t>
  </si>
  <si>
    <t>Guru  memperlakukan  semua  peserta  didik  secara  adil, memberikan perhatian dan bantuan sesuai kebutuhan masing-masing, tanpa memperdulikan faktor personal.</t>
  </si>
  <si>
    <t>Guru menjaga hubungan baik dan peduli dengan teman sejawat (bersifat inklusif), serta berkontribusi  positif terhadap semua diskusi formal dan informalterkait dengan pekerjaannya.</t>
  </si>
  <si>
    <t>Guru  sering  berinteraksi  dengan  peserta  didik  dan  tidak membatasi  perhatiannya  hanya  pada  kelompok  tertentu (misalnya: peserta didik yang pandai, kaya, berasal dari daerah yang sama dengan guru).</t>
  </si>
  <si>
    <t>Total skor kompetensi 11</t>
  </si>
  <si>
    <t>Skor maksimum kompetensi 11 = jumlah indikator x 2</t>
  </si>
  <si>
    <t>Nilai untuk kompetensi 11</t>
  </si>
  <si>
    <t>Penilaian untuk Kompetensi 10: Etos kerja,tanggung jawab yang tinggi,dan rasa bangga menjadi guru</t>
  </si>
  <si>
    <t>Guru mengawali dan mengakhiri pembelajaran dengan tepat waktu</t>
  </si>
  <si>
    <t>Jika guru harus meninggalkan kelas, guru mengaktifkan siswa dengan  melakukan produktif terkait  dengan mata  pelajaran, dan meminta guru piket atau guru lain untuk mengawasi kelas</t>
  </si>
  <si>
    <t>Guru memenuhi jam mengajar dan dapat melakukan semua kegiatan lain di luar jam mengajar berdasarkan ijin dan persetujuan pengelola sekolah</t>
  </si>
  <si>
    <t>Guru meminta ijin dan  memberitahu  lebih  awal,  dengan memberikan alasan dan bukti yang sah jika tidak menghadiri kegiatan yang telah direncanakan, termasuk proses pembelajaran di kelas</t>
  </si>
  <si>
    <t>Guru menyelesaikan semua tugas  administrative tugas  administrative dan non pembelajaran dengan tepat waktu sesuai standar yang ditetapkan.</t>
  </si>
  <si>
    <t>Guru memanfaatkan waktu luang selain mengajar untuk kegiatan yang produktif terkait dengan tugasnya.</t>
  </si>
  <si>
    <t>Guru memberikan kontribusi terhadap pengembangan sekolah dan mempunyai prestasi yang berdampak positif terhadap nama baik sekolah.</t>
  </si>
  <si>
    <t>Guru merasa bangga dengan profesinya sebagai guru.</t>
  </si>
  <si>
    <t>Total skor kompetensi 10</t>
  </si>
  <si>
    <t>Skor maksimum kompetensi 10 = jumlah indikator x 2</t>
  </si>
  <si>
    <t>Persentase = (total skor/16) x 100%</t>
  </si>
  <si>
    <t>Nilai untuk kompetensi 10</t>
  </si>
  <si>
    <t>Penilaian untuk Kompetensi 9: Menunjukkan pribadi yang dewasa dan teladan</t>
  </si>
  <si>
    <t>Guru bertingkah laku sopan dalam berbicara, berpenampilan, dan berbuat terhadap semua  peserta didik, orang tua, dan teman sejawat.</t>
  </si>
  <si>
    <t>Guru mau membagi pengalamannya dengan teman sejawat, termasuk mengundang mereka untuk mengobservasi cara mengajarnya dan memberikanmasukan.</t>
  </si>
  <si>
    <t>Guru mampu mengelola pembelajaran yang membuktikan bahwa guru dihormati oleh peserta didik, sehingga semua peserta didik selalu memperhatikan guru dan berpartisipasi aktif dalam proses pembelajaran.</t>
  </si>
  <si>
    <t>Guru bersikap dewasa dalam menerima masukan dari peserta didik dan memberikan kesempatan kepada peserta didik untuk berpartisipasi dalam proses pembelajaran.</t>
  </si>
  <si>
    <t>Guru berperilaku baik untuk mencitrakan nama baik sekolah.</t>
  </si>
  <si>
    <t>Total skor kompetensi 9</t>
  </si>
  <si>
    <t>Skor maksimum kompetensi 9 = jumlah indikator x 2</t>
  </si>
  <si>
    <t>Persentase = (total skor/10) x 100%</t>
  </si>
  <si>
    <t>Nilai untuk kompetensi 9</t>
  </si>
  <si>
    <t>Penilaian untuk Kompetensi 8: Bertindak sesuai dengan norma agama, hukum, sosial dan kebudayaan nasional Indonesia</t>
  </si>
  <si>
    <t>Guru menghargai dan mempromosikan prinsip-prinsip Pancasila sebagai dasar ideologi dan etika bagi semua warga Indonesia.</t>
  </si>
  <si>
    <t>Guru mengembangkan kerjasama dan membina kebersamaan dengan teman sejawat tanpa memperhatikan perbedaan yang ada (misalnya: suku, agama, dan gender).</t>
  </si>
  <si>
    <t>Guru saling menghormati dan menghargai teman sejawat sesuai dengan kondisi dan keberadaan masingmasing.</t>
  </si>
  <si>
    <t>Guru  memiliki  rasa persatuan  dan  kesatuan sebagai  bangsa Indonesia.</t>
  </si>
  <si>
    <t>Guru mempunyai pandangan yang luas tentang keberagaman bangsa Indonesia (misalnya: budaya, suku, agama).</t>
  </si>
  <si>
    <t>Total skor kompetensi 8</t>
  </si>
  <si>
    <t>Skor maksimum kompetensi 8 = jumlah indikator x 2</t>
  </si>
  <si>
    <t>Nilai untuk kompetensi 8</t>
  </si>
  <si>
    <t xml:space="preserve">Penilaian untuk Kompetensi 7: Penilaian dan evaluasi </t>
  </si>
  <si>
    <t>Guru  menyusun  alat  penilaian  yang  sesuai  dengan  tujuan pembelajaran untuk mencapai kompetensi tertentu seperti yang tertulis dalam RPP.</t>
  </si>
  <si>
    <t>Guru melaksanakan penilaian dengan berbagai teknik dan jenis penilaian, selain penilaian formal yang dilaksanakan sekolah, dan mengumumkan hasil serta implikasinya kepada peserta didik, tentang tingkat pemahaman terhadap materi pembelajaran yang telah dan akan dipelajari.</t>
  </si>
  <si>
    <t>Guru  menganalisis  hasil  penilaian  untuk  mengidentifikasi topik/kompetensi dasar yang sulit sehingga diketahui kekuatan dan kelemahan masing-masing peserta didik untuk keperluan remedial dan pengayaan.</t>
  </si>
  <si>
    <t>Guru   memanfaatkan   masukan   dari   peserta   didik   dan merefleksikannya untuk meningkatkan pembelajaran selanjutnya, dan dapat membuktikannya melalui catatan, jurnal pembelajaran, rancangan pembelajaran, materi tambahan, dan sebagainya.</t>
  </si>
  <si>
    <t>Guru memanfatkan hasil penilaian sebagai bahan penyusunan rancangan pembelajaran yang akan dilakukan selanjutnya.</t>
  </si>
  <si>
    <t>Total skor kompetensi 7</t>
  </si>
  <si>
    <t>Skor maksimum kompetensi 7 = jumlah indikator x 2</t>
  </si>
  <si>
    <t>Nilai untuk kompetensi 7</t>
  </si>
  <si>
    <t xml:space="preserve">Penilaian untuk Kompetensi 6:  Komunikasi dengan peserta didik  </t>
  </si>
  <si>
    <t>Guru menggunakan pertanyaan untuk mengetahui pemahaman dan menjaga partisipasi peserta didik, termasuk memberikan pertanyaan terbuka yang menuntut peserta didik untuk menjawab dengan ide dan pengetahuan mereka.</t>
  </si>
  <si>
    <t>Guru  memberikan  perhatian  dan  mendengarkan  semua pertanyaan dan tanggapan peserta didik, tanpa menginterupsi, kecuali jika diperlukan untuk membantu atau mengklarifikasi pertanyaan/tanggapan tersebut.</t>
  </si>
  <si>
    <t>Guru menanggapinya pertanyaan peserta didik secara tepat, benar,  dan  mutakhir,  sesuai  tujuan  pembelajaran  dan  isi kurikulum, anpa mempermalukannya.</t>
  </si>
  <si>
    <t>Guru   menyajikan   kegiatan   pembelajaran yang dapat menumbuhkan kerja sama yang baik antar peserta didik.</t>
  </si>
  <si>
    <t>Guru mendengarkan dan memberikan perhatian terhadap semua jawaban peserta didik baik yang benar maupun yang dianggap salah untuk mengukur tingkat pemahaman peserta didik.</t>
  </si>
  <si>
    <t>Guru memberikan perhatian terhadap pertanyaan peserta didik dan  meresponnya  secara  lengkap  dan relevan untuk menghilangkan kebingungan pada peserta didik.</t>
  </si>
  <si>
    <t>Total skor kompetensi 6</t>
  </si>
  <si>
    <t>Skor maksimum kompetensi 6 = jumlah indikator x 2</t>
  </si>
  <si>
    <t>Nilai untuk kompetensi 6</t>
  </si>
  <si>
    <t>Penilaian untuk Kompetensi 5:  Memahami dan mengembangkan potensi  peserta didik</t>
  </si>
  <si>
    <t>Guru  menganalisis  hasil  belajar  berdasarkan  segala  bentuk penilaian terhadap setiap peserta didik untuk mengetahui tingkat kemajuan masingmasing.</t>
  </si>
  <si>
    <t>Guru merancang dan melaksanakan aktivitas pembelajaran yang mendorong peserta didik untuk belajar sesuai dengan kecakapan dan pola belajar masing-masing.</t>
  </si>
  <si>
    <t>Guru merancang dan melaksanakan aktivitas pembelajaran untuk memunculkan daya kreativitas dan kemampuan berfikir kritis peserta didik.</t>
  </si>
  <si>
    <t>Guru  secara  aktif  membantu  peserta  didik  dalam  proses pembelajaran  dengan  memberikan  perhatian  kepada  setiap individu.</t>
  </si>
  <si>
    <t>Guru dapat mengidentifikasi dengan benar tentang bakat, minat, potensi, dan kesulitan belajar masing-masing peserta didik.</t>
  </si>
  <si>
    <t>Guru memberikan kesempatan belajar kepada peserta didik sesuai dengan cara belajarnya masing-masing.</t>
  </si>
  <si>
    <t>Guru memusatkan perhatian pada interaksi dengan peserta didik dan mendorongnya untuk memahami dan menggunakan informasi yang disampaikan.</t>
  </si>
  <si>
    <t>Total skor kompetensi 5</t>
  </si>
  <si>
    <t>Skor maksimum kompetensi 5 = jumlah indikator x 2</t>
  </si>
  <si>
    <t>Persentase = (total skor/14) x 100%</t>
  </si>
  <si>
    <t>Nilai untuk kompetensi 5</t>
  </si>
  <si>
    <t xml:space="preserve">Penilaian untuk Kompetensi 4: Kegiatan Pembelajaran yang Mendidik </t>
  </si>
  <si>
    <t>Guru melaksanakan aktivitas pembelajaran sesuai dengan rancangan yang telah disusun secara lengkap dan pelaksanaan aktivitas tersebut mengindikasikan bahwa guru
mengerti tentang tujuannya.</t>
  </si>
  <si>
    <t>Guru melaksanakan aktivitas pembelajaran yang bertujuan untuk membantu proses belajar peserta didik, bukan untuk menguji sehingga membuat peserta didik merasa tertekan.</t>
  </si>
  <si>
    <t>Guru mengkomunikasikan informasi baru (misalnya materi tambahan) sesuai dengan usia dan tingkat kemampuan belajar peserta didik</t>
  </si>
  <si>
    <t>Guru menyikapi kesalahan yang dilakukan peserta didik sebagai tahapan proses pembelajaran, bukan semata-mata kesalahan yang harus dikoreksi. Misalnya dengan mengetahui terlebih dahulu peserta didik yang lain yang setuju dan tidak setuju dengan jawaban tersebut, sebelum memberikan penjelasan tentang jawaban yang benar</t>
  </si>
  <si>
    <t>Guru melaksanakan kegiatan pembelajaran sesuai isi kurikulum dan mengkaitkannya dengan konteks kehidupan sehari-hari peserta didik.</t>
  </si>
  <si>
    <t>Guru melaksanakan aktivitas pembelajaran secara bervariasi dengan waktu yang cukup untuk kegiatan pembelajaran yang sesuai dengan usia dan tingkat kemampuan belajar dan memperhatikan peserta didik</t>
  </si>
  <si>
    <t>Guru mengelola kelas dengan efektif tanpa mendominasi atau sibuk dengan kegiatannya sendiri agar semua waktu peserta dapat termanfaatkan secara produktif</t>
  </si>
  <si>
    <t>Guru mampu menyesuaikan aktivitas pembelajaran yang dirancang dengan kondisi kelas.</t>
  </si>
  <si>
    <t>Guru memberikan banyak kesempatan kepada peserta didik untuk bertanya, mempraktekan dan berinteraksi dengan peserta didik lain.</t>
  </si>
  <si>
    <t>10</t>
  </si>
  <si>
    <t>Guru mengatur pelaksanaan aktivitas pembelajaran secara sistematis untuk membantu proses belajar peserta didik. Sebagai contoh :  guru menambahkan informasi baru setelah mengevaluasi pemahaman peserta didik terhadap materi sebelumnya.</t>
  </si>
  <si>
    <t>Guru menggunakan alat bantu mengajar, dan/atau audiovisual (termasuk TIK) untuk meningkatkan motivasi belajar peserta didik dalam mencapai tujuan pembelajaran.</t>
  </si>
  <si>
    <t>Total skor kompetensi 4</t>
  </si>
  <si>
    <t>Skor maksimum kompetensi 4 = jumlah indikator x 2</t>
  </si>
  <si>
    <t>Persentase = (total skor/22) x 100%</t>
  </si>
  <si>
    <t>Nilai untuk kompetensi 4</t>
  </si>
  <si>
    <t>Guru dapat menyusun silabus yang sesuai dengan kurikulum</t>
  </si>
  <si>
    <t>Guru merancang rencana pembelajaran yang sesuai dengan silabus untuk memahami materi ajar tertentu agar pesrta didik dapat mencapai kompetensi dasar yang ditetapkan.</t>
  </si>
  <si>
    <t>Guru mengikuti urutan materi pembelajaran dengan memperhatikan tujuan pembelajaran</t>
  </si>
  <si>
    <t>Guru memilih materi pembelajaran yang : a) sesuai dengan tujuan pembelajaran, b) tepat dan mutakhir, c) sesuai dengan usia dan tingkat kemampuan belajar peserta didik, dan d) dapat dilaksanakan di kelas, e) sesuai dengan konteks kehidupan sehari-hari peserta didik.</t>
  </si>
  <si>
    <t>Total skor kompetensi 3</t>
  </si>
  <si>
    <t>Skor maksimum kompetensi 3 = jumlah indikator x 2</t>
  </si>
  <si>
    <t>Persentase = (total skor/8) x 100%</t>
  </si>
  <si>
    <t>Nilai untuk kompetensi 3</t>
  </si>
  <si>
    <t>Penilaian untuk Kompetensi 2 : Menguasai teori belajar dan prinsip-prinsip pembelajaran yang mendidik</t>
  </si>
  <si>
    <t>Guru memberi kesempatan kepada peserta didik untuk menguasai materi pembelajaran sesuai usia dan kemampuan belajarnya melalui pengaturan proses pembelajaran dan aktivitas yang bervariasi</t>
  </si>
  <si>
    <t>Guru selalu memastikan tingkat pemahaman peserta didik terhadap materi pembelajaran tertentu dan menyesuaikan aktivitas pembelajaran berikutnya berdasarkan tingkat pemahaman tersebut</t>
  </si>
  <si>
    <t>Guru dapat menjelaskan alasan pelaksanaan kegiatan/aktivitas yang dilakukan, baik yang sesuai maupun yang berbeda dengan rencana, terkait keberhasilan pembelajaran</t>
  </si>
  <si>
    <t>Guru menggunakan berbagai teknik untuk memotivasi kemauan belajar peserta didik</t>
  </si>
  <si>
    <t>Guru merencanakan kegiatan pembelajaran yang saling terkait satu sama lain, dengan memperhatikan tujuan pembelajaran maupun proses belajar peserta didik.</t>
  </si>
  <si>
    <t>Guru memperhatikan respon peserta didik yang belum/kurang memahami materi pembelajaran yang diajarkan dan menggunakannya untuk memperbaiki rancangan pembelajaran berikutnya.</t>
  </si>
  <si>
    <t>Total skor kompetensi 2</t>
  </si>
  <si>
    <t>Skor maksimum kompetensi 2 = jumlah indikator x 2</t>
  </si>
  <si>
    <t>Nilai untuk kompetensi 2</t>
  </si>
  <si>
    <t xml:space="preserve">Penilaian untuk Kompetensi 1: Mengenal karakteristik peserta didik </t>
  </si>
  <si>
    <t>Guru dapat mengidentifikasi karekteristik belajar setiap peserta didik di kelasnya</t>
  </si>
  <si>
    <t>Guru memastikan bahwa semua peserta didik mendapatkan kesempatan yang sama untuk berpartisipasi aktif dalam kegiatan pembelajaran</t>
  </si>
  <si>
    <t>Guru dapat mengatur kelas untuk memberikan kesempatan belajar yang sama pada semua peserta didik dengan kelainan fisik dan kemampuran belajar yang berbeda</t>
  </si>
  <si>
    <t>Guru mencoba mengetahui penyebab penyimpangan perilaku peserta didik untuk mencegah agar perilaku tersebut tidak merugikan peserta didik lainnya.</t>
  </si>
  <si>
    <t>Guru membantu mengembangkan potensi dan mengatasi kekurangan peserta didik</t>
  </si>
  <si>
    <t>Guru memperhatikan peserta didik dengan kelemahan fisik tertentu agar dapat mengikuti aktivitas pembelajaran, sehingga peserta didik termarginalkan (tersisih, diolok-olok, minder, dsb)</t>
  </si>
  <si>
    <t>Total skor kompetensi 1</t>
  </si>
  <si>
    <t>Skor maksimum kompetensi 1 = jumlah indikator x 2</t>
  </si>
  <si>
    <t>Nilai untuk kompetensi 1</t>
  </si>
</sst>
</file>

<file path=xl/styles.xml><?xml version="1.0" encoding="utf-8"?>
<styleSheet xmlns="http://schemas.openxmlformats.org/spreadsheetml/2006/main">
  <numFmts count="6">
    <numFmt numFmtId="176" formatCode="0.000"/>
    <numFmt numFmtId="177" formatCode="[$-421]dd\ mmmm\ yyyy;@"/>
    <numFmt numFmtId="178" formatCode="_ * #,##0.00_ ;_ * \-#,##0.00_ ;_ * &quot;-&quot;??_ ;_ @_ "/>
    <numFmt numFmtId="44" formatCode="_(&quot;$&quot;* #,##0.00_);_(&quot;$&quot;* \(#,##0.00\);_(&quot;$&quot;* &quot;-&quot;??_);_(@_)"/>
    <numFmt numFmtId="42" formatCode="_(&quot;$&quot;* #,##0_);_(&quot;$&quot;* \(#,##0\);_(&quot;$&quot;* &quot;-&quot;_);_(@_)"/>
    <numFmt numFmtId="179" formatCode="_ * #,##0_ ;_ * \-#,##0_ ;_ * &quot;-&quot;_ ;_ @_ "/>
  </numFmts>
  <fonts count="61">
    <font>
      <sz val="11"/>
      <color theme="1"/>
      <name val="Calibri"/>
      <charset val="1"/>
      <scheme val="minor"/>
    </font>
    <font>
      <sz val="11"/>
      <color theme="1"/>
      <name val="Arial"/>
      <charset val="134"/>
    </font>
    <font>
      <b/>
      <sz val="11"/>
      <color theme="1"/>
      <name val="Arial"/>
      <charset val="134"/>
    </font>
    <font>
      <sz val="8"/>
      <color theme="1"/>
      <name val="Arial"/>
      <charset val="134"/>
    </font>
    <font>
      <b/>
      <u/>
      <sz val="11"/>
      <color theme="1"/>
      <name val="Arial"/>
      <charset val="134"/>
    </font>
    <font>
      <b/>
      <sz val="11"/>
      <color theme="1"/>
      <name val="Calibri"/>
      <charset val="1"/>
      <scheme val="minor"/>
    </font>
    <font>
      <sz val="11"/>
      <color theme="1"/>
      <name val="Times New Roman"/>
      <charset val="134"/>
    </font>
    <font>
      <sz val="10"/>
      <color theme="1"/>
      <name val="Arial"/>
      <charset val="134"/>
    </font>
    <font>
      <sz val="10.5"/>
      <color theme="1"/>
      <name val="Arial"/>
      <charset val="134"/>
    </font>
    <font>
      <sz val="12"/>
      <color theme="1"/>
      <name val="Arial"/>
      <charset val="134"/>
    </font>
    <font>
      <b/>
      <sz val="11"/>
      <color theme="0"/>
      <name val="Calibri"/>
      <charset val="134"/>
      <scheme val="minor"/>
    </font>
    <font>
      <b/>
      <sz val="26"/>
      <color theme="1"/>
      <name val="Calibri"/>
      <charset val="134"/>
      <scheme val="minor"/>
    </font>
    <font>
      <sz val="11"/>
      <name val="Calibri"/>
      <charset val="1"/>
      <scheme val="minor"/>
    </font>
    <font>
      <sz val="11"/>
      <name val="Arial"/>
      <charset val="134"/>
    </font>
    <font>
      <b/>
      <sz val="10"/>
      <color theme="1"/>
      <name val="Arial"/>
      <charset val="134"/>
    </font>
    <font>
      <b/>
      <sz val="11"/>
      <color theme="0"/>
      <name val="Arial"/>
      <charset val="134"/>
    </font>
    <font>
      <b/>
      <sz val="14"/>
      <color theme="1"/>
      <name val="Arial"/>
      <charset val="134"/>
    </font>
    <font>
      <b/>
      <sz val="28"/>
      <color theme="1"/>
      <name val="Batang"/>
      <charset val="134"/>
    </font>
    <font>
      <b/>
      <sz val="24"/>
      <color theme="1"/>
      <name val="Bookman Old Style"/>
      <charset val="134"/>
    </font>
    <font>
      <sz val="48"/>
      <color theme="1"/>
      <name val="Cooper Black"/>
      <charset val="134"/>
    </font>
    <font>
      <sz val="16"/>
      <color theme="1"/>
      <name val="Baskerville Old Face"/>
      <charset val="134"/>
    </font>
    <font>
      <sz val="26"/>
      <color theme="1"/>
      <name val="Stencil"/>
      <charset val="134"/>
    </font>
    <font>
      <b/>
      <sz val="16"/>
      <color theme="1"/>
      <name val="Segoe Script"/>
      <charset val="134"/>
    </font>
    <font>
      <sz val="18"/>
      <color theme="1"/>
      <name val="Bauhaus 93"/>
      <charset val="134"/>
    </font>
    <font>
      <sz val="28"/>
      <color theme="0"/>
      <name val="Casper Comics"/>
      <charset val="134"/>
    </font>
    <font>
      <b/>
      <sz val="11"/>
      <color theme="1"/>
      <name val="Calibri"/>
      <charset val="134"/>
      <scheme val="minor"/>
    </font>
    <font>
      <sz val="18"/>
      <color theme="0"/>
      <name val="Bauhaus 93"/>
      <charset val="134"/>
    </font>
    <font>
      <sz val="12"/>
      <color theme="1"/>
      <name val="Times New Roman"/>
      <charset val="134"/>
    </font>
    <font>
      <b/>
      <sz val="24"/>
      <color theme="0"/>
      <name val="Calibri"/>
      <charset val="134"/>
      <scheme val="minor"/>
    </font>
    <font>
      <b/>
      <sz val="12"/>
      <color theme="1"/>
      <name val="Calibri"/>
      <charset val="134"/>
      <scheme val="minor"/>
    </font>
    <font>
      <sz val="11"/>
      <color theme="0"/>
      <name val="Calibri"/>
      <charset val="1"/>
      <scheme val="minor"/>
    </font>
    <font>
      <sz val="12"/>
      <name val="Times New Roman"/>
      <charset val="134"/>
    </font>
    <font>
      <sz val="18"/>
      <color theme="0"/>
      <name val="Times New Roman"/>
      <charset val="134"/>
    </font>
    <font>
      <b/>
      <sz val="18"/>
      <color theme="0"/>
      <name val="Bernard MT Condensed"/>
      <charset val="134"/>
    </font>
    <font>
      <sz val="11"/>
      <color theme="0"/>
      <name val="Arial"/>
      <charset val="134"/>
    </font>
    <font>
      <sz val="11"/>
      <color rgb="FFFF0000"/>
      <name val="Calibri"/>
      <charset val="1"/>
      <scheme val="minor"/>
    </font>
    <font>
      <sz val="18"/>
      <name val="Bauhaus 93"/>
      <charset val="134"/>
    </font>
    <font>
      <sz val="18"/>
      <color rgb="FFFF0000"/>
      <name val="Bauhaus 93"/>
      <charset val="134"/>
    </font>
    <font>
      <u/>
      <sz val="11"/>
      <color rgb="FF0000FF"/>
      <name val="Calibri"/>
      <charset val="0"/>
      <scheme val="minor"/>
    </font>
    <font>
      <sz val="11"/>
      <color theme="1"/>
      <name val="Calibri"/>
      <charset val="134"/>
      <scheme val="minor"/>
    </font>
    <font>
      <b/>
      <sz val="15"/>
      <color theme="3"/>
      <name val="Calibri"/>
      <charset val="134"/>
      <scheme val="minor"/>
    </font>
    <font>
      <sz val="11"/>
      <color theme="0"/>
      <name val="Calibri"/>
      <charset val="0"/>
      <scheme val="minor"/>
    </font>
    <font>
      <sz val="11"/>
      <color theme="1"/>
      <name val="Calibri"/>
      <charset val="0"/>
      <scheme val="minor"/>
    </font>
    <font>
      <i/>
      <sz val="11"/>
      <color rgb="FF7F7F7F"/>
      <name val="Calibri"/>
      <charset val="0"/>
      <scheme val="minor"/>
    </font>
    <font>
      <sz val="11"/>
      <color rgb="FF006100"/>
      <name val="Calibri"/>
      <charset val="0"/>
      <scheme val="minor"/>
    </font>
    <font>
      <sz val="11"/>
      <color rgb="FF9C6500"/>
      <name val="Calibri"/>
      <charset val="0"/>
      <scheme val="minor"/>
    </font>
    <font>
      <b/>
      <sz val="11"/>
      <color theme="3"/>
      <name val="Calibri"/>
      <charset val="134"/>
      <scheme val="minor"/>
    </font>
    <font>
      <sz val="11"/>
      <color rgb="FF3F3F76"/>
      <name val="Calibri"/>
      <charset val="0"/>
      <scheme val="minor"/>
    </font>
    <font>
      <b/>
      <sz val="11"/>
      <color theme="1"/>
      <name val="Calibri"/>
      <charset val="0"/>
      <scheme val="minor"/>
    </font>
    <font>
      <b/>
      <sz val="11"/>
      <color rgb="FFFFFFFF"/>
      <name val="Calibri"/>
      <charset val="0"/>
      <scheme val="minor"/>
    </font>
    <font>
      <b/>
      <sz val="11"/>
      <color rgb="FFFA7D00"/>
      <name val="Calibri"/>
      <charset val="0"/>
      <scheme val="minor"/>
    </font>
    <font>
      <u/>
      <sz val="11"/>
      <color rgb="FF800080"/>
      <name val="Calibri"/>
      <charset val="0"/>
      <scheme val="minor"/>
    </font>
    <font>
      <b/>
      <sz val="11"/>
      <color rgb="FF3F3F3F"/>
      <name val="Calibri"/>
      <charset val="0"/>
      <scheme val="minor"/>
    </font>
    <font>
      <sz val="11"/>
      <color rgb="FFFF0000"/>
      <name val="Calibri"/>
      <charset val="0"/>
      <scheme val="minor"/>
    </font>
    <font>
      <sz val="11"/>
      <color rgb="FFFA7D00"/>
      <name val="Calibri"/>
      <charset val="0"/>
      <scheme val="minor"/>
    </font>
    <font>
      <sz val="11"/>
      <color rgb="FF9C0006"/>
      <name val="Calibri"/>
      <charset val="0"/>
      <scheme val="minor"/>
    </font>
    <font>
      <b/>
      <sz val="18"/>
      <color theme="3"/>
      <name val="Calibri"/>
      <charset val="134"/>
      <scheme val="minor"/>
    </font>
    <font>
      <b/>
      <sz val="13"/>
      <color theme="3"/>
      <name val="Calibri"/>
      <charset val="134"/>
      <scheme val="minor"/>
    </font>
    <font>
      <strike/>
      <sz val="11"/>
      <color indexed="8"/>
      <name val="Arial"/>
      <charset val="134"/>
    </font>
    <font>
      <sz val="9"/>
      <name val="Tahoma"/>
      <charset val="134"/>
    </font>
    <font>
      <b/>
      <sz val="9"/>
      <name val="Tahoma"/>
      <charset val="134"/>
    </font>
  </fonts>
  <fills count="43">
    <fill>
      <patternFill patternType="none"/>
    </fill>
    <fill>
      <patternFill patternType="gray125"/>
    </fill>
    <fill>
      <patternFill patternType="solid">
        <fgColor theme="4" tint="0.799981688894314"/>
        <bgColor indexed="64"/>
      </patternFill>
    </fill>
    <fill>
      <patternFill patternType="solid">
        <fgColor rgb="FF002060"/>
        <bgColor indexed="64"/>
      </patternFill>
    </fill>
    <fill>
      <patternFill patternType="solid">
        <fgColor rgb="FFFF0000"/>
        <bgColor indexed="64"/>
      </patternFill>
    </fill>
    <fill>
      <patternFill patternType="solid">
        <fgColor theme="9" tint="-0.249977111117893"/>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1"/>
        <bgColor indexed="64"/>
      </patternFill>
    </fill>
    <fill>
      <patternFill patternType="solid">
        <fgColor rgb="FFC00000"/>
        <bgColor indexed="64"/>
      </patternFill>
    </fill>
    <fill>
      <patternFill patternType="solid">
        <fgColor rgb="FF92D050"/>
        <bgColor indexed="64"/>
      </patternFill>
    </fill>
    <fill>
      <patternFill patternType="solid">
        <fgColor theme="0"/>
        <bgColor indexed="64"/>
      </patternFill>
    </fill>
    <fill>
      <patternFill patternType="solid">
        <fgColor theme="6"/>
        <bgColor indexed="64"/>
      </patternFill>
    </fill>
    <fill>
      <patternFill patternType="solid">
        <fgColor theme="5" tint="0.599993896298105"/>
        <bgColor indexed="64"/>
      </patternFill>
    </fill>
    <fill>
      <patternFill patternType="solid">
        <fgColor theme="7" tint="0.799981688894314"/>
        <bgColor indexed="64"/>
      </patternFill>
    </fill>
    <fill>
      <patternFill patternType="solid">
        <fgColor rgb="FFC6EFCE"/>
        <bgColor indexed="64"/>
      </patternFill>
    </fill>
    <fill>
      <patternFill patternType="solid">
        <fgColor rgb="FFFFEB9C"/>
        <bgColor indexed="64"/>
      </patternFill>
    </fill>
    <fill>
      <patternFill patternType="solid">
        <fgColor rgb="FFFFFFCC"/>
        <bgColor indexed="64"/>
      </patternFill>
    </fill>
    <fill>
      <patternFill patternType="solid">
        <fgColor rgb="FFFFCC99"/>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rgb="FFA5A5A5"/>
        <bgColor indexed="64"/>
      </patternFill>
    </fill>
    <fill>
      <patternFill patternType="solid">
        <fgColor theme="4"/>
        <bgColor indexed="64"/>
      </patternFill>
    </fill>
    <fill>
      <patternFill patternType="solid">
        <fgColor rgb="FFF2F2F2"/>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theme="5"/>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9"/>
        <bgColor indexed="64"/>
      </patternFill>
    </fill>
    <fill>
      <patternFill patternType="solid">
        <fgColor rgb="FFFFC7CE"/>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theme="8"/>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7"/>
        <bgColor indexed="64"/>
      </patternFill>
    </fill>
  </fills>
  <borders count="38">
    <border>
      <left/>
      <right/>
      <top/>
      <bottom/>
      <diagonal/>
    </border>
    <border>
      <left/>
      <right/>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right/>
      <top/>
      <bottom style="medium">
        <color auto="1"/>
      </bottom>
      <diagonal/>
    </border>
    <border>
      <left/>
      <right/>
      <top style="medium">
        <color auto="1"/>
      </top>
      <bottom style="thin">
        <color auto="1"/>
      </bottom>
      <diagonal/>
    </border>
    <border>
      <left/>
      <right/>
      <top/>
      <bottom style="dashed">
        <color auto="1"/>
      </bottom>
      <diagonal/>
    </border>
    <border>
      <left/>
      <right/>
      <top style="dashed">
        <color auto="1"/>
      </top>
      <bottom style="dashed">
        <color auto="1"/>
      </bottom>
      <diagonal/>
    </border>
    <border>
      <left style="thin">
        <color auto="1"/>
      </left>
      <right style="thin">
        <color auto="1"/>
      </right>
      <top/>
      <bottom/>
      <diagonal/>
    </border>
    <border>
      <left/>
      <right style="thin">
        <color auto="1"/>
      </right>
      <top/>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s>
  <cellStyleXfs count="49">
    <xf numFmtId="0" fontId="0" fillId="0" borderId="0"/>
    <xf numFmtId="0" fontId="41" fillId="39" borderId="0" applyNumberFormat="0" applyBorder="0" applyAlignment="0" applyProtection="0">
      <alignment vertical="center"/>
    </xf>
    <xf numFmtId="0" fontId="42" fillId="33" borderId="0" applyNumberFormat="0" applyBorder="0" applyAlignment="0" applyProtection="0">
      <alignment vertical="center"/>
    </xf>
    <xf numFmtId="0" fontId="41" fillId="41" borderId="0" applyNumberFormat="0" applyBorder="0" applyAlignment="0" applyProtection="0">
      <alignment vertical="center"/>
    </xf>
    <xf numFmtId="0" fontId="41" fillId="30" borderId="0" applyNumberFormat="0" applyBorder="0" applyAlignment="0" applyProtection="0">
      <alignment vertical="center"/>
    </xf>
    <xf numFmtId="0" fontId="42" fillId="40" borderId="0" applyNumberFormat="0" applyBorder="0" applyAlignment="0" applyProtection="0">
      <alignment vertical="center"/>
    </xf>
    <xf numFmtId="0" fontId="42" fillId="28" borderId="0" applyNumberFormat="0" applyBorder="0" applyAlignment="0" applyProtection="0">
      <alignment vertical="center"/>
    </xf>
    <xf numFmtId="0" fontId="41" fillId="36" borderId="0" applyNumberFormat="0" applyBorder="0" applyAlignment="0" applyProtection="0">
      <alignment vertical="center"/>
    </xf>
    <xf numFmtId="0" fontId="41" fillId="35" borderId="0" applyNumberFormat="0" applyBorder="0" applyAlignment="0" applyProtection="0">
      <alignment vertical="center"/>
    </xf>
    <xf numFmtId="0" fontId="42" fillId="37" borderId="0" applyNumberFormat="0" applyBorder="0" applyAlignment="0" applyProtection="0">
      <alignment vertical="center"/>
    </xf>
    <xf numFmtId="0" fontId="41" fillId="42" borderId="0" applyNumberFormat="0" applyBorder="0" applyAlignment="0" applyProtection="0">
      <alignment vertical="center"/>
    </xf>
    <xf numFmtId="0" fontId="54" fillId="0" borderId="37" applyNumberFormat="0" applyFill="0" applyAlignment="0" applyProtection="0">
      <alignment vertical="center"/>
    </xf>
    <xf numFmtId="0" fontId="42" fillId="32" borderId="0" applyNumberFormat="0" applyBorder="0" applyAlignment="0" applyProtection="0">
      <alignment vertical="center"/>
    </xf>
    <xf numFmtId="0" fontId="41" fillId="38" borderId="0" applyNumberFormat="0" applyBorder="0" applyAlignment="0" applyProtection="0">
      <alignment vertical="center"/>
    </xf>
    <xf numFmtId="0" fontId="41" fillId="12" borderId="0" applyNumberFormat="0" applyBorder="0" applyAlignment="0" applyProtection="0">
      <alignment vertical="center"/>
    </xf>
    <xf numFmtId="0" fontId="42" fillId="13" borderId="0" applyNumberFormat="0" applyBorder="0" applyAlignment="0" applyProtection="0">
      <alignment vertical="center"/>
    </xf>
    <xf numFmtId="0" fontId="42" fillId="29" borderId="0" applyNumberFormat="0" applyBorder="0" applyAlignment="0" applyProtection="0">
      <alignment vertical="center"/>
    </xf>
    <xf numFmtId="0" fontId="41" fillId="27" borderId="0" applyNumberFormat="0" applyBorder="0" applyAlignment="0" applyProtection="0">
      <alignment vertical="center"/>
    </xf>
    <xf numFmtId="0" fontId="42" fillId="34" borderId="0" applyNumberFormat="0" applyBorder="0" applyAlignment="0" applyProtection="0">
      <alignment vertical="center"/>
    </xf>
    <xf numFmtId="0" fontId="42" fillId="26" borderId="0" applyNumberFormat="0" applyBorder="0" applyAlignment="0" applyProtection="0">
      <alignment vertical="center"/>
    </xf>
    <xf numFmtId="0" fontId="41" fillId="23" borderId="0" applyNumberFormat="0" applyBorder="0" applyAlignment="0" applyProtection="0">
      <alignment vertical="center"/>
    </xf>
    <xf numFmtId="0" fontId="45" fillId="16" borderId="0" applyNumberFormat="0" applyBorder="0" applyAlignment="0" applyProtection="0">
      <alignment vertical="center"/>
    </xf>
    <xf numFmtId="0" fontId="41" fillId="21" borderId="0" applyNumberFormat="0" applyBorder="0" applyAlignment="0" applyProtection="0">
      <alignment vertical="center"/>
    </xf>
    <xf numFmtId="0" fontId="55" fillId="31" borderId="0" applyNumberFormat="0" applyBorder="0" applyAlignment="0" applyProtection="0">
      <alignment vertical="center"/>
    </xf>
    <xf numFmtId="0" fontId="42" fillId="14" borderId="0" applyNumberFormat="0" applyBorder="0" applyAlignment="0" applyProtection="0">
      <alignment vertical="center"/>
    </xf>
    <xf numFmtId="0" fontId="48" fillId="0" borderId="33" applyNumberFormat="0" applyFill="0" applyAlignment="0" applyProtection="0">
      <alignment vertical="center"/>
    </xf>
    <xf numFmtId="0" fontId="52" fillId="24" borderId="35" applyNumberFormat="0" applyAlignment="0" applyProtection="0">
      <alignment vertical="center"/>
    </xf>
    <xf numFmtId="44" fontId="39" fillId="0" borderId="0" applyFont="0" applyFill="0" applyBorder="0" applyAlignment="0" applyProtection="0">
      <alignment vertical="center"/>
    </xf>
    <xf numFmtId="0" fontId="42" fillId="20" borderId="0" applyNumberFormat="0" applyBorder="0" applyAlignment="0" applyProtection="0">
      <alignment vertical="center"/>
    </xf>
    <xf numFmtId="0" fontId="39" fillId="17" borderId="31" applyNumberFormat="0" applyFont="0" applyAlignment="0" applyProtection="0">
      <alignment vertical="center"/>
    </xf>
    <xf numFmtId="0" fontId="47" fillId="18" borderId="32" applyNumberFormat="0" applyAlignment="0" applyProtection="0">
      <alignment vertical="center"/>
    </xf>
    <xf numFmtId="0" fontId="46" fillId="0" borderId="0" applyNumberFormat="0" applyFill="0" applyBorder="0" applyAlignment="0" applyProtection="0">
      <alignment vertical="center"/>
    </xf>
    <xf numFmtId="0" fontId="50" fillId="24" borderId="32" applyNumberFormat="0" applyAlignment="0" applyProtection="0">
      <alignment vertical="center"/>
    </xf>
    <xf numFmtId="0" fontId="44" fillId="15" borderId="0" applyNumberFormat="0" applyBorder="0" applyAlignment="0" applyProtection="0">
      <alignment vertical="center"/>
    </xf>
    <xf numFmtId="0" fontId="46" fillId="0" borderId="36" applyNumberFormat="0" applyFill="0" applyAlignment="0" applyProtection="0">
      <alignment vertical="center"/>
    </xf>
    <xf numFmtId="0" fontId="43" fillId="0" borderId="0" applyNumberFormat="0" applyFill="0" applyBorder="0" applyAlignment="0" applyProtection="0">
      <alignment vertical="center"/>
    </xf>
    <xf numFmtId="0" fontId="40" fillId="0" borderId="30" applyNumberFormat="0" applyFill="0" applyAlignment="0" applyProtection="0">
      <alignment vertical="center"/>
    </xf>
    <xf numFmtId="179" fontId="39" fillId="0" borderId="0" applyFont="0" applyFill="0" applyBorder="0" applyAlignment="0" applyProtection="0">
      <alignment vertical="center"/>
    </xf>
    <xf numFmtId="0" fontId="42" fillId="25" borderId="0" applyNumberFormat="0" applyBorder="0" applyAlignment="0" applyProtection="0">
      <alignment vertical="center"/>
    </xf>
    <xf numFmtId="0" fontId="56" fillId="0" borderId="0" applyNumberFormat="0" applyFill="0" applyBorder="0" applyAlignment="0" applyProtection="0">
      <alignment vertical="center"/>
    </xf>
    <xf numFmtId="42" fontId="39" fillId="0" borderId="0" applyFont="0" applyFill="0" applyBorder="0" applyAlignment="0" applyProtection="0">
      <alignment vertical="center"/>
    </xf>
    <xf numFmtId="0" fontId="5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7" fillId="0" borderId="30" applyNumberFormat="0" applyFill="0" applyAlignment="0" applyProtection="0">
      <alignment vertical="center"/>
    </xf>
    <xf numFmtId="178" fontId="39" fillId="0" borderId="0" applyFont="0" applyFill="0" applyBorder="0" applyAlignment="0" applyProtection="0">
      <alignment vertical="center"/>
    </xf>
    <xf numFmtId="0" fontId="49" fillId="22" borderId="34" applyNumberFormat="0" applyAlignment="0" applyProtection="0">
      <alignment vertical="center"/>
    </xf>
    <xf numFmtId="0" fontId="41" fillId="19" borderId="0" applyNumberFormat="0" applyBorder="0" applyAlignment="0" applyProtection="0">
      <alignment vertical="center"/>
    </xf>
    <xf numFmtId="9" fontId="0" fillId="0" borderId="0" applyFont="0" applyFill="0" applyBorder="0" applyAlignment="0" applyProtection="0"/>
    <xf numFmtId="0" fontId="38" fillId="0" borderId="0" applyNumberFormat="0" applyFill="0" applyBorder="0" applyAlignment="0" applyProtection="0">
      <alignment vertical="center"/>
    </xf>
  </cellStyleXfs>
  <cellXfs count="265">
    <xf numFmtId="0" fontId="0" fillId="0" borderId="0" xfId="0"/>
    <xf numFmtId="0" fontId="1" fillId="0" borderId="0" xfId="0" applyFont="1"/>
    <xf numFmtId="0" fontId="2" fillId="0" borderId="1" xfId="0" applyFont="1" applyBorder="1" applyAlignment="1">
      <alignment horizontal="left" vertical="top"/>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1"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left" vertical="center" wrapText="1"/>
    </xf>
    <xf numFmtId="0" fontId="1" fillId="0" borderId="9" xfId="0" applyFont="1" applyBorder="1" applyAlignment="1">
      <alignment horizontal="left" vertical="center" wrapText="1"/>
    </xf>
    <xf numFmtId="0" fontId="1" fillId="0" borderId="8" xfId="0" applyFont="1" applyBorder="1" applyAlignment="1">
      <alignment horizontal="left" vertical="center"/>
    </xf>
    <xf numFmtId="0" fontId="1" fillId="0" borderId="9" xfId="0" applyFont="1" applyBorder="1" applyAlignment="1">
      <alignment horizontal="left" vertical="center"/>
    </xf>
    <xf numFmtId="0" fontId="1" fillId="0" borderId="3" xfId="0" applyFont="1" applyBorder="1" applyAlignment="1">
      <alignment horizontal="left" vertical="center"/>
    </xf>
    <xf numFmtId="0" fontId="1" fillId="0" borderId="4" xfId="0" applyFont="1" applyBorder="1" applyAlignment="1">
      <alignment horizontal="left" vertical="center"/>
    </xf>
    <xf numFmtId="0" fontId="1" fillId="0" borderId="6" xfId="0" applyFont="1" applyBorder="1" applyAlignment="1">
      <alignment horizontal="left" vertical="center" wrapText="1"/>
    </xf>
    <xf numFmtId="0" fontId="1" fillId="0" borderId="1" xfId="0" applyFont="1" applyBorder="1" applyAlignment="1">
      <alignment horizontal="left" vertical="center" wrapText="1"/>
    </xf>
    <xf numFmtId="0" fontId="3" fillId="0" borderId="0" xfId="0" applyFont="1"/>
    <xf numFmtId="0" fontId="1" fillId="0" borderId="0" xfId="0" applyFont="1" applyAlignment="1">
      <alignment horizontal="center"/>
    </xf>
    <xf numFmtId="0" fontId="4" fillId="0" borderId="0" xfId="0" applyFont="1" applyAlignment="1">
      <alignment horizontal="center"/>
    </xf>
    <xf numFmtId="0" fontId="2" fillId="0" borderId="7" xfId="0" applyFont="1" applyBorder="1" applyAlignment="1">
      <alignment horizontal="center"/>
    </xf>
    <xf numFmtId="0" fontId="2" fillId="0" borderId="7" xfId="0" applyFont="1" applyBorder="1" applyAlignment="1">
      <alignment horizontal="center" vertical="top" wrapText="1"/>
    </xf>
    <xf numFmtId="0" fontId="1" fillId="0" borderId="10" xfId="0" applyFont="1" applyBorder="1" applyAlignment="1">
      <alignment horizontal="left" vertical="center" wrapText="1"/>
    </xf>
    <xf numFmtId="0" fontId="1" fillId="2" borderId="7" xfId="0" applyFont="1" applyFill="1" applyBorder="1" applyAlignment="1" applyProtection="1">
      <alignment horizontal="center" vertical="center"/>
      <protection locked="0"/>
    </xf>
    <xf numFmtId="0" fontId="1" fillId="0" borderId="10" xfId="0" applyFont="1" applyBorder="1" applyAlignment="1">
      <alignment horizontal="left" vertical="center"/>
    </xf>
    <xf numFmtId="0" fontId="2" fillId="0" borderId="8" xfId="0" applyFont="1" applyBorder="1" applyAlignment="1">
      <alignment horizontal="center"/>
    </xf>
    <xf numFmtId="9" fontId="2" fillId="0" borderId="8" xfId="47" applyFont="1" applyBorder="1" applyAlignment="1">
      <alignment horizontal="center"/>
    </xf>
    <xf numFmtId="0" fontId="1" fillId="0" borderId="2" xfId="0" applyFont="1" applyBorder="1" applyAlignment="1">
      <alignment horizontal="left" vertical="center"/>
    </xf>
    <xf numFmtId="0" fontId="1" fillId="0" borderId="5" xfId="0" applyFont="1" applyBorder="1" applyAlignment="1">
      <alignment horizontal="left" vertical="center" wrapText="1"/>
    </xf>
    <xf numFmtId="177" fontId="1" fillId="0" borderId="0" xfId="0" applyNumberFormat="1" applyFont="1" applyAlignment="1">
      <alignment horizontal="right"/>
    </xf>
    <xf numFmtId="177" fontId="1" fillId="0" borderId="0" xfId="0" applyNumberFormat="1" applyFont="1" applyAlignment="1">
      <alignment horizontal="left"/>
    </xf>
    <xf numFmtId="0" fontId="2" fillId="0" borderId="9" xfId="0" applyFont="1" applyBorder="1" applyAlignment="1">
      <alignment horizontal="center"/>
    </xf>
    <xf numFmtId="0" fontId="2" fillId="0" borderId="10" xfId="0" applyFont="1" applyBorder="1" applyAlignment="1">
      <alignment horizontal="center"/>
    </xf>
    <xf numFmtId="9" fontId="2" fillId="0" borderId="9" xfId="47" applyFont="1" applyBorder="1" applyAlignment="1">
      <alignment horizontal="center"/>
    </xf>
    <xf numFmtId="9" fontId="2" fillId="0" borderId="10" xfId="47" applyFont="1" applyBorder="1" applyAlignment="1">
      <alignment horizontal="center"/>
    </xf>
    <xf numFmtId="177" fontId="1" fillId="0" borderId="0" xfId="0" applyNumberFormat="1" applyFont="1" applyAlignment="1"/>
    <xf numFmtId="0" fontId="2" fillId="0" borderId="1" xfId="0" applyFont="1" applyBorder="1" applyAlignment="1">
      <alignment horizontal="left" vertical="top" wrapText="1"/>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7" xfId="0" applyFont="1" applyBorder="1" applyAlignment="1">
      <alignment horizontal="center" vertical="center"/>
    </xf>
    <xf numFmtId="0" fontId="1" fillId="0" borderId="0" xfId="0" applyFont="1" applyAlignment="1">
      <alignment horizontal="right"/>
    </xf>
    <xf numFmtId="0" fontId="2" fillId="0" borderId="11" xfId="0" applyFont="1" applyBorder="1" applyAlignment="1">
      <alignment vertical="center"/>
    </xf>
    <xf numFmtId="0" fontId="2" fillId="0" borderId="12" xfId="0" applyFont="1" applyBorder="1" applyAlignment="1">
      <alignment vertical="center"/>
    </xf>
    <xf numFmtId="0" fontId="2" fillId="0" borderId="1" xfId="0" applyFont="1" applyBorder="1" applyAlignment="1">
      <alignment horizontal="left" vertical="center" wrapText="1"/>
    </xf>
    <xf numFmtId="0" fontId="5" fillId="0" borderId="0" xfId="0" applyFont="1"/>
    <xf numFmtId="0" fontId="0" fillId="0" borderId="0" xfId="0" applyFont="1"/>
    <xf numFmtId="0" fontId="2" fillId="0" borderId="1" xfId="0" applyFont="1" applyBorder="1" applyAlignment="1">
      <alignment horizontal="center" vertical="center" wrapText="1"/>
    </xf>
    <xf numFmtId="0" fontId="5" fillId="0" borderId="11" xfId="0" applyFont="1" applyBorder="1" applyAlignment="1">
      <alignment horizontal="center" vertical="center"/>
    </xf>
    <xf numFmtId="0" fontId="5" fillId="0" borderId="12" xfId="0" applyFont="1" applyBorder="1" applyAlignment="1">
      <alignment horizontal="center" vertical="center"/>
    </xf>
    <xf numFmtId="0" fontId="1" fillId="0" borderId="8" xfId="0" applyFont="1" applyBorder="1" applyAlignment="1">
      <alignment horizontal="left"/>
    </xf>
    <xf numFmtId="0" fontId="1" fillId="0" borderId="9" xfId="0" applyFont="1" applyBorder="1" applyAlignment="1">
      <alignment horizontal="left"/>
    </xf>
    <xf numFmtId="0" fontId="6" fillId="0" borderId="0" xfId="0" applyFont="1"/>
    <xf numFmtId="0" fontId="1" fillId="0" borderId="10" xfId="0" applyFont="1" applyBorder="1" applyAlignment="1">
      <alignment horizontal="left"/>
    </xf>
    <xf numFmtId="1" fontId="2" fillId="0" borderId="3" xfId="0" applyNumberFormat="1" applyFont="1" applyBorder="1" applyAlignment="1">
      <alignment horizontal="center" vertical="center"/>
    </xf>
    <xf numFmtId="1" fontId="2" fillId="0" borderId="6" xfId="0" applyNumberFormat="1" applyFont="1" applyBorder="1" applyAlignment="1">
      <alignment horizontal="center" vertical="center"/>
    </xf>
    <xf numFmtId="0" fontId="2" fillId="0" borderId="0" xfId="0" applyFont="1"/>
    <xf numFmtId="0" fontId="2" fillId="0" borderId="0" xfId="0" applyFont="1" applyFill="1" applyBorder="1" applyAlignment="1">
      <alignment horizontal="center" vertical="top" wrapText="1"/>
    </xf>
    <xf numFmtId="0" fontId="1" fillId="0" borderId="0" xfId="0" applyFont="1" applyAlignment="1">
      <alignment horizontal="center" vertical="center"/>
    </xf>
    <xf numFmtId="1" fontId="2" fillId="0" borderId="4" xfId="0" applyNumberFormat="1" applyFont="1" applyBorder="1" applyAlignment="1">
      <alignment horizontal="center" vertical="center"/>
    </xf>
    <xf numFmtId="1" fontId="2" fillId="0" borderId="2" xfId="0" applyNumberFormat="1" applyFont="1" applyBorder="1" applyAlignment="1">
      <alignment horizontal="center" vertical="center"/>
    </xf>
    <xf numFmtId="1" fontId="2" fillId="0" borderId="1"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 fillId="0" borderId="0" xfId="0" applyFont="1" applyAlignment="1">
      <alignment horizontal="center" vertical="center"/>
    </xf>
    <xf numFmtId="0" fontId="1" fillId="0" borderId="0" xfId="0" applyFont="1" applyAlignment="1">
      <alignment vertical="center"/>
    </xf>
    <xf numFmtId="0" fontId="7" fillId="0" borderId="0" xfId="0" applyFont="1" applyAlignment="1">
      <alignment vertical="center"/>
    </xf>
    <xf numFmtId="0" fontId="8" fillId="0" borderId="0" xfId="0" applyFont="1" applyAlignment="1">
      <alignment vertical="center"/>
    </xf>
    <xf numFmtId="0" fontId="9" fillId="0" borderId="8" xfId="0" applyFont="1" applyBorder="1" applyAlignment="1">
      <alignment vertical="center"/>
    </xf>
    <xf numFmtId="0" fontId="1" fillId="0" borderId="9" xfId="0" applyFont="1" applyBorder="1"/>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0" fontId="9" fillId="0" borderId="13" xfId="0" applyFont="1" applyBorder="1" applyAlignment="1">
      <alignment vertical="center"/>
    </xf>
    <xf numFmtId="0" fontId="1" fillId="0" borderId="0" xfId="0" applyFont="1" applyBorder="1" applyAlignment="1">
      <alignment horizontal="right" vertical="center"/>
    </xf>
    <xf numFmtId="0" fontId="1" fillId="0" borderId="14" xfId="0" applyFont="1" applyBorder="1" applyAlignment="1">
      <alignment horizontal="center"/>
    </xf>
    <xf numFmtId="0" fontId="9" fillId="0" borderId="6" xfId="0" applyFont="1" applyBorder="1" applyAlignment="1">
      <alignment vertical="center"/>
    </xf>
    <xf numFmtId="0" fontId="1" fillId="0" borderId="1" xfId="0" applyFont="1" applyBorder="1" applyAlignment="1">
      <alignment horizontal="right" vertical="center"/>
    </xf>
    <xf numFmtId="0" fontId="1" fillId="0" borderId="15" xfId="0" applyFont="1" applyBorder="1" applyAlignment="1">
      <alignment horizontal="center" vertical="top"/>
    </xf>
    <xf numFmtId="0" fontId="9" fillId="0" borderId="6" xfId="0" applyFont="1" applyBorder="1" applyAlignment="1">
      <alignment horizontal="left" vertical="center" wrapText="1"/>
    </xf>
    <xf numFmtId="0" fontId="9" fillId="0" borderId="1" xfId="0" applyFont="1" applyBorder="1" applyAlignment="1">
      <alignment horizontal="left" vertical="center" wrapText="1"/>
    </xf>
    <xf numFmtId="0" fontId="9" fillId="0" borderId="13" xfId="0" applyFont="1" applyBorder="1" applyAlignment="1">
      <alignment horizontal="left" vertical="center" wrapText="1"/>
    </xf>
    <xf numFmtId="0" fontId="9" fillId="0" borderId="0" xfId="0" applyFont="1" applyBorder="1" applyAlignment="1">
      <alignment horizontal="left" vertical="center" wrapText="1"/>
    </xf>
    <xf numFmtId="0" fontId="9" fillId="0" borderId="13" xfId="0" applyFont="1" applyBorder="1" applyAlignment="1">
      <alignment horizontal="center" vertical="center"/>
    </xf>
    <xf numFmtId="0" fontId="9" fillId="0" borderId="0" xfId="0" applyFont="1" applyBorder="1" applyAlignment="1">
      <alignment horizontal="center" vertical="center"/>
    </xf>
    <xf numFmtId="0" fontId="9" fillId="0" borderId="6" xfId="0" applyFont="1" applyBorder="1" applyAlignment="1">
      <alignment horizontal="center" vertical="center"/>
    </xf>
    <xf numFmtId="0" fontId="9" fillId="0" borderId="1" xfId="0" applyFont="1" applyBorder="1" applyAlignment="1">
      <alignment horizontal="center" vertical="center"/>
    </xf>
    <xf numFmtId="0" fontId="9" fillId="0" borderId="0" xfId="0" applyFont="1" applyAlignment="1">
      <alignment horizontal="center"/>
    </xf>
    <xf numFmtId="0" fontId="1" fillId="0" borderId="0" xfId="0" applyFont="1" applyAlignment="1">
      <alignment horizontal="right" vertical="center"/>
    </xf>
    <xf numFmtId="0" fontId="1" fillId="0" borderId="16" xfId="0" applyFont="1" applyBorder="1" applyAlignment="1">
      <alignment horizontal="left" vertical="center"/>
    </xf>
    <xf numFmtId="0" fontId="1" fillId="0" borderId="16" xfId="0" applyFont="1" applyBorder="1"/>
    <xf numFmtId="0" fontId="1" fillId="0" borderId="17" xfId="0" applyFont="1" applyBorder="1"/>
    <xf numFmtId="177" fontId="1" fillId="0" borderId="17" xfId="0" applyNumberFormat="1" applyFont="1" applyBorder="1" applyAlignment="1">
      <alignment horizontal="left" vertical="center"/>
    </xf>
    <xf numFmtId="0" fontId="1" fillId="0" borderId="17" xfId="0" applyFont="1" applyBorder="1" applyAlignment="1">
      <alignment vertical="center"/>
    </xf>
    <xf numFmtId="0" fontId="1" fillId="0" borderId="0" xfId="0" applyFont="1" applyBorder="1" applyAlignment="1">
      <alignment horizontal="left" vertical="center"/>
    </xf>
    <xf numFmtId="0" fontId="1" fillId="0" borderId="0" xfId="0" applyFont="1" applyBorder="1"/>
    <xf numFmtId="0" fontId="1" fillId="0" borderId="1" xfId="0" applyFont="1" applyBorder="1" applyAlignment="1">
      <alignment horizontal="left" vertical="center"/>
    </xf>
    <xf numFmtId="0" fontId="1" fillId="0" borderId="1" xfId="0" applyFont="1" applyBorder="1"/>
    <xf numFmtId="0" fontId="1" fillId="0" borderId="1" xfId="0" applyFont="1" applyBorder="1" applyAlignment="1">
      <alignment horizontal="center"/>
    </xf>
    <xf numFmtId="0" fontId="2" fillId="0" borderId="0" xfId="0" applyFont="1" applyBorder="1" applyAlignment="1">
      <alignment vertical="center"/>
    </xf>
    <xf numFmtId="0" fontId="1" fillId="0" borderId="17" xfId="0" applyFont="1" applyBorder="1" applyAlignment="1">
      <alignment horizontal="right" vertical="center"/>
    </xf>
    <xf numFmtId="176" fontId="1" fillId="0" borderId="11" xfId="0" applyNumberFormat="1" applyFont="1" applyBorder="1" applyAlignment="1">
      <alignment horizontal="center" vertical="center"/>
    </xf>
    <xf numFmtId="176" fontId="1" fillId="0" borderId="18" xfId="0" applyNumberFormat="1" applyFont="1" applyBorder="1" applyAlignment="1">
      <alignment horizontal="center" vertical="center"/>
    </xf>
    <xf numFmtId="176" fontId="1" fillId="0" borderId="12" xfId="0" applyNumberFormat="1" applyFont="1" applyBorder="1" applyAlignment="1">
      <alignment horizontal="center" vertical="center"/>
    </xf>
    <xf numFmtId="0" fontId="9" fillId="0" borderId="2" xfId="0" applyFont="1" applyBorder="1" applyAlignment="1">
      <alignment horizontal="left" vertical="center" wrapText="1"/>
    </xf>
    <xf numFmtId="10" fontId="1" fillId="0" borderId="12" xfId="47" applyNumberFormat="1" applyFont="1" applyBorder="1" applyAlignment="1">
      <alignment horizontal="center" vertical="center"/>
    </xf>
    <xf numFmtId="0" fontId="9" fillId="0" borderId="5" xfId="0" applyFont="1" applyBorder="1" applyAlignment="1">
      <alignment horizontal="left" vertical="center" wrapText="1"/>
    </xf>
    <xf numFmtId="9" fontId="2" fillId="0" borderId="18" xfId="47" applyFont="1" applyBorder="1" applyAlignment="1">
      <alignment horizontal="center" vertical="center" wrapText="1"/>
    </xf>
    <xf numFmtId="0" fontId="9" fillId="0" borderId="19" xfId="0" applyFont="1" applyBorder="1" applyAlignment="1">
      <alignment horizontal="left" vertical="center" wrapText="1"/>
    </xf>
    <xf numFmtId="0" fontId="10" fillId="3" borderId="11" xfId="0" applyFont="1" applyFill="1" applyBorder="1" applyAlignment="1">
      <alignment horizontal="center" vertical="center" wrapText="1"/>
    </xf>
    <xf numFmtId="0" fontId="10" fillId="3" borderId="7" xfId="0" applyFont="1" applyFill="1" applyBorder="1" applyAlignment="1">
      <alignment horizontal="center" vertical="center" wrapText="1"/>
    </xf>
    <xf numFmtId="0" fontId="10" fillId="3" borderId="12" xfId="0" applyFont="1" applyFill="1" applyBorder="1" applyAlignment="1">
      <alignment horizontal="center" vertical="center" wrapText="1"/>
    </xf>
    <xf numFmtId="0" fontId="11" fillId="4" borderId="7" xfId="0" applyFont="1" applyFill="1" applyBorder="1" applyAlignment="1" applyProtection="1">
      <alignment horizontal="center" vertical="center"/>
      <protection locked="0"/>
    </xf>
    <xf numFmtId="0" fontId="0" fillId="5" borderId="7" xfId="0" applyFill="1" applyBorder="1" applyAlignment="1">
      <alignment horizontal="center" vertical="center"/>
    </xf>
    <xf numFmtId="0" fontId="0" fillId="6" borderId="11" xfId="0" applyFill="1" applyBorder="1" applyAlignment="1">
      <alignment horizontal="center" wrapText="1"/>
    </xf>
    <xf numFmtId="0" fontId="0" fillId="6" borderId="18" xfId="0" applyFill="1" applyBorder="1" applyAlignment="1">
      <alignment horizontal="center" wrapText="1"/>
    </xf>
    <xf numFmtId="0" fontId="0" fillId="6" borderId="12" xfId="0" applyFill="1" applyBorder="1" applyAlignment="1">
      <alignment horizontal="center" wrapText="1"/>
    </xf>
    <xf numFmtId="0" fontId="1" fillId="5" borderId="7" xfId="0" applyFont="1" applyFill="1" applyBorder="1" applyAlignment="1">
      <alignment horizontal="center" vertical="center"/>
    </xf>
    <xf numFmtId="0" fontId="1" fillId="5" borderId="7" xfId="0" applyFont="1" applyFill="1" applyBorder="1"/>
    <xf numFmtId="0" fontId="9" fillId="0" borderId="0" xfId="0" applyFont="1" applyAlignment="1"/>
    <xf numFmtId="0" fontId="4" fillId="0" borderId="0" xfId="0" applyFont="1" applyAlignment="1"/>
    <xf numFmtId="0" fontId="1" fillId="0" borderId="0" xfId="0" applyFont="1" applyAlignment="1"/>
    <xf numFmtId="0" fontId="12" fillId="0" borderId="0" xfId="0" applyFont="1" applyAlignment="1">
      <alignment vertical="center"/>
    </xf>
    <xf numFmtId="0" fontId="13" fillId="0" borderId="0" xfId="0" applyFont="1"/>
    <xf numFmtId="0" fontId="10" fillId="3" borderId="7" xfId="0" applyFont="1" applyFill="1" applyBorder="1" applyAlignment="1">
      <alignment horizontal="center" vertical="center"/>
    </xf>
    <xf numFmtId="0" fontId="0" fillId="7" borderId="7" xfId="0" applyFill="1" applyBorder="1" applyAlignment="1">
      <alignment horizontal="center" vertical="center"/>
    </xf>
    <xf numFmtId="0" fontId="0" fillId="7" borderId="7" xfId="0" applyFill="1" applyBorder="1" applyAlignment="1" applyProtection="1">
      <alignment horizontal="center" vertical="center"/>
      <protection locked="0"/>
    </xf>
    <xf numFmtId="0" fontId="1" fillId="7" borderId="7" xfId="0" applyFont="1" applyFill="1" applyBorder="1"/>
    <xf numFmtId="0" fontId="1" fillId="7" borderId="7" xfId="0" applyFont="1" applyFill="1" applyBorder="1" applyProtection="1">
      <protection locked="0"/>
    </xf>
    <xf numFmtId="0" fontId="14" fillId="0" borderId="0" xfId="0" applyFont="1" applyAlignment="1">
      <alignment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1" fillId="0" borderId="1" xfId="0" applyFont="1" applyBorder="1" applyAlignment="1">
      <alignment horizontal="center" vertical="center"/>
    </xf>
    <xf numFmtId="0" fontId="14" fillId="0" borderId="7" xfId="0" applyFont="1" applyBorder="1" applyAlignment="1">
      <alignment horizontal="center" vertical="center"/>
    </xf>
    <xf numFmtId="0" fontId="7" fillId="0" borderId="8" xfId="0" applyFont="1" applyBorder="1" applyAlignment="1">
      <alignment horizontal="center" vertical="center"/>
    </xf>
    <xf numFmtId="0" fontId="7" fillId="0" borderId="8" xfId="0" applyFont="1" applyBorder="1" applyAlignment="1">
      <alignment vertical="center"/>
    </xf>
    <xf numFmtId="0" fontId="7" fillId="0" borderId="9" xfId="0" applyFont="1" applyBorder="1" applyAlignment="1">
      <alignment vertical="center"/>
    </xf>
    <xf numFmtId="0" fontId="7" fillId="0" borderId="8" xfId="0" applyFont="1" applyBorder="1" applyAlignment="1">
      <alignment horizontal="left" vertical="center" wrapText="1"/>
    </xf>
    <xf numFmtId="0" fontId="7" fillId="0" borderId="9" xfId="0" applyFont="1" applyBorder="1" applyAlignment="1">
      <alignment horizontal="left" vertical="center" wrapText="1"/>
    </xf>
    <xf numFmtId="0" fontId="14" fillId="0" borderId="8" xfId="0" applyFont="1" applyBorder="1" applyAlignment="1">
      <alignment horizontal="left" vertical="center"/>
    </xf>
    <xf numFmtId="0" fontId="14" fillId="0" borderId="9" xfId="0" applyFont="1" applyBorder="1" applyAlignment="1">
      <alignment horizontal="left" vertical="center"/>
    </xf>
    <xf numFmtId="0" fontId="1" fillId="0" borderId="16" xfId="0" applyFont="1" applyBorder="1" applyAlignment="1">
      <alignment horizontal="left"/>
    </xf>
    <xf numFmtId="177" fontId="1" fillId="0" borderId="17" xfId="0" applyNumberFormat="1" applyFont="1" applyBorder="1" applyAlignment="1">
      <alignment horizontal="left"/>
    </xf>
    <xf numFmtId="0" fontId="2" fillId="0" borderId="10" xfId="0" applyFont="1" applyBorder="1" applyAlignment="1">
      <alignment horizontal="center" vertical="center"/>
    </xf>
    <xf numFmtId="0" fontId="2" fillId="0" borderId="8" xfId="0" applyFont="1" applyBorder="1" applyAlignment="1">
      <alignment horizontal="left" vertical="center"/>
    </xf>
    <xf numFmtId="0" fontId="2" fillId="0" borderId="10" xfId="0" applyFont="1" applyBorder="1" applyAlignment="1">
      <alignment horizontal="left" vertical="center"/>
    </xf>
    <xf numFmtId="0" fontId="1" fillId="0" borderId="8" xfId="0" applyFont="1" applyBorder="1" applyAlignment="1" applyProtection="1">
      <alignment horizontal="center"/>
      <protection locked="0"/>
    </xf>
    <xf numFmtId="0" fontId="1" fillId="0" borderId="2" xfId="0" applyFont="1" applyBorder="1" applyAlignment="1">
      <alignment horizontal="center" vertical="center"/>
    </xf>
    <xf numFmtId="0" fontId="1" fillId="0" borderId="7" xfId="0" applyFont="1" applyBorder="1" applyAlignment="1" applyProtection="1">
      <alignment horizontal="center"/>
      <protection locked="0"/>
    </xf>
    <xf numFmtId="0" fontId="1" fillId="0" borderId="5" xfId="0" applyFont="1" applyBorder="1" applyAlignment="1">
      <alignment horizontal="center" vertical="center"/>
    </xf>
    <xf numFmtId="0" fontId="1" fillId="0" borderId="10" xfId="0" applyFont="1" applyBorder="1" applyAlignment="1" applyProtection="1">
      <alignment horizontal="center"/>
      <protection locked="0"/>
    </xf>
    <xf numFmtId="0" fontId="7" fillId="0" borderId="10" xfId="0" applyFont="1" applyBorder="1" applyAlignment="1">
      <alignment vertical="center"/>
    </xf>
    <xf numFmtId="0" fontId="7" fillId="0" borderId="10" xfId="0" applyFont="1" applyBorder="1" applyAlignment="1">
      <alignment horizontal="center" vertical="center"/>
    </xf>
    <xf numFmtId="0" fontId="7" fillId="0" borderId="10" xfId="0" applyFont="1" applyBorder="1" applyAlignment="1">
      <alignment horizontal="left" vertical="center" wrapText="1"/>
    </xf>
    <xf numFmtId="0" fontId="14" fillId="0" borderId="10" xfId="0" applyFont="1" applyBorder="1" applyAlignment="1">
      <alignment horizontal="left" vertical="center"/>
    </xf>
    <xf numFmtId="0" fontId="15" fillId="8" borderId="0" xfId="0" applyFont="1" applyFill="1" applyBorder="1" applyAlignment="1">
      <alignment horizontal="center"/>
    </xf>
    <xf numFmtId="0" fontId="15" fillId="8" borderId="0" xfId="0" applyFont="1" applyFill="1" applyAlignment="1">
      <alignment horizontal="center" vertical="center"/>
    </xf>
    <xf numFmtId="0" fontId="2" fillId="8" borderId="0" xfId="0" applyFont="1" applyFill="1"/>
    <xf numFmtId="0" fontId="2" fillId="0" borderId="0" xfId="0" applyFont="1" applyAlignment="1">
      <alignment horizontal="center"/>
    </xf>
    <xf numFmtId="0" fontId="1" fillId="0" borderId="0" xfId="0" applyFont="1" applyAlignment="1">
      <alignment horizontal="left"/>
    </xf>
    <xf numFmtId="0" fontId="16" fillId="0" borderId="0" xfId="0" applyFont="1" applyAlignment="1">
      <alignment horizontal="center"/>
    </xf>
    <xf numFmtId="0" fontId="1" fillId="0" borderId="0" xfId="0" applyFont="1" applyAlignment="1">
      <alignment horizontal="left" wrapText="1"/>
    </xf>
    <xf numFmtId="0" fontId="1" fillId="0" borderId="14" xfId="0" applyFont="1" applyBorder="1" applyAlignment="1">
      <alignment horizontal="left"/>
    </xf>
    <xf numFmtId="0" fontId="1" fillId="0" borderId="20" xfId="0" applyFont="1" applyBorder="1"/>
    <xf numFmtId="177" fontId="1" fillId="0" borderId="20" xfId="0" applyNumberFormat="1" applyFont="1" applyBorder="1" applyAlignment="1">
      <alignment horizontal="left"/>
    </xf>
    <xf numFmtId="1" fontId="1" fillId="0" borderId="0" xfId="0" applyNumberFormat="1" applyFont="1" applyAlignment="1">
      <alignment horizontal="left"/>
    </xf>
    <xf numFmtId="0" fontId="1" fillId="0" borderId="20" xfId="0" applyFont="1" applyBorder="1" applyAlignment="1">
      <alignment horizontal="center"/>
    </xf>
    <xf numFmtId="0" fontId="0" fillId="0" borderId="21" xfId="0" applyBorder="1"/>
    <xf numFmtId="0" fontId="0" fillId="0" borderId="22" xfId="0" applyBorder="1"/>
    <xf numFmtId="0" fontId="0" fillId="0" borderId="23" xfId="0" applyBorder="1"/>
    <xf numFmtId="0" fontId="0" fillId="0" borderId="0" xfId="0" applyBorder="1"/>
    <xf numFmtId="0" fontId="17" fillId="0" borderId="23" xfId="0" applyFont="1" applyBorder="1" applyAlignment="1">
      <alignment horizontal="center"/>
    </xf>
    <xf numFmtId="0" fontId="17" fillId="0" borderId="0" xfId="0" applyFont="1" applyBorder="1" applyAlignment="1">
      <alignment horizontal="center"/>
    </xf>
    <xf numFmtId="0" fontId="18" fillId="0" borderId="23" xfId="0" applyFont="1" applyBorder="1" applyAlignment="1">
      <alignment horizontal="center"/>
    </xf>
    <xf numFmtId="0" fontId="18" fillId="0" borderId="0"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20" fillId="0" borderId="0" xfId="0" applyFont="1" applyBorder="1"/>
    <xf numFmtId="0" fontId="20" fillId="0" borderId="14" xfId="0" applyFont="1" applyBorder="1"/>
    <xf numFmtId="0" fontId="21" fillId="0" borderId="23" xfId="0" applyFont="1" applyBorder="1" applyAlignment="1">
      <alignment horizontal="center"/>
    </xf>
    <xf numFmtId="0" fontId="21" fillId="0" borderId="0" xfId="0" applyFont="1" applyBorder="1" applyAlignment="1">
      <alignment horizontal="center"/>
    </xf>
    <xf numFmtId="0" fontId="22" fillId="0" borderId="23" xfId="0" applyFont="1" applyBorder="1" applyAlignment="1">
      <alignment horizontal="center"/>
    </xf>
    <xf numFmtId="0" fontId="22" fillId="0" borderId="0" xfId="0" applyFont="1" applyBorder="1" applyAlignment="1">
      <alignment horizontal="center"/>
    </xf>
    <xf numFmtId="0" fontId="0" fillId="0" borderId="24" xfId="0" applyBorder="1"/>
    <xf numFmtId="0" fontId="0" fillId="0" borderId="14" xfId="0" applyBorder="1"/>
    <xf numFmtId="0" fontId="0" fillId="0" borderId="25" xfId="0" applyBorder="1"/>
    <xf numFmtId="0" fontId="0" fillId="0" borderId="26" xfId="0" applyBorder="1"/>
    <xf numFmtId="0" fontId="17" fillId="0" borderId="26" xfId="0" applyFont="1" applyBorder="1" applyAlignment="1">
      <alignment horizontal="center"/>
    </xf>
    <xf numFmtId="0" fontId="18" fillId="0" borderId="26" xfId="0" applyFont="1" applyBorder="1" applyAlignment="1">
      <alignment horizontal="center"/>
    </xf>
    <xf numFmtId="0" fontId="19" fillId="0" borderId="26" xfId="0" applyFont="1" applyBorder="1" applyAlignment="1">
      <alignment horizontal="center"/>
    </xf>
    <xf numFmtId="0" fontId="21" fillId="0" borderId="26" xfId="0" applyFont="1" applyBorder="1" applyAlignment="1">
      <alignment horizontal="center"/>
    </xf>
    <xf numFmtId="0" fontId="22" fillId="0" borderId="26" xfId="0" applyFont="1" applyBorder="1" applyAlignment="1">
      <alignment horizontal="center"/>
    </xf>
    <xf numFmtId="0" fontId="0" fillId="0" borderId="27" xfId="0" applyBorder="1"/>
    <xf numFmtId="0" fontId="23" fillId="0" borderId="0" xfId="0" applyFont="1" applyAlignment="1">
      <alignment vertical="center"/>
    </xf>
    <xf numFmtId="0" fontId="0" fillId="0" borderId="0" xfId="0" applyAlignment="1">
      <alignment vertical="center"/>
    </xf>
    <xf numFmtId="0" fontId="24" fillId="8" borderId="0" xfId="0" applyFont="1" applyFill="1" applyAlignment="1">
      <alignment horizontal="center" vertical="center" wrapText="1"/>
    </xf>
    <xf numFmtId="0" fontId="0" fillId="9" borderId="14" xfId="0" applyFill="1" applyBorder="1" applyAlignment="1">
      <alignment vertical="center"/>
    </xf>
    <xf numFmtId="0" fontId="10" fillId="9" borderId="14" xfId="0" applyFont="1" applyFill="1" applyBorder="1" applyAlignment="1">
      <alignment vertical="center"/>
    </xf>
    <xf numFmtId="0" fontId="25" fillId="9" borderId="14" xfId="0" applyFont="1" applyFill="1" applyBorder="1" applyAlignment="1">
      <alignment vertical="center"/>
    </xf>
    <xf numFmtId="0" fontId="23" fillId="4" borderId="21" xfId="0" applyFont="1" applyFill="1" applyBorder="1" applyAlignment="1">
      <alignment vertical="center"/>
    </xf>
    <xf numFmtId="0" fontId="26" fillId="9" borderId="22" xfId="0" applyFont="1" applyFill="1" applyBorder="1" applyAlignment="1">
      <alignment horizontal="center" vertical="center"/>
    </xf>
    <xf numFmtId="0" fontId="23" fillId="4" borderId="23" xfId="0" applyFont="1" applyFill="1" applyBorder="1" applyAlignment="1">
      <alignment vertical="center"/>
    </xf>
    <xf numFmtId="0" fontId="26" fillId="10" borderId="0" xfId="0" applyFont="1" applyFill="1" applyBorder="1" applyAlignment="1">
      <alignment horizontal="center" vertical="center"/>
    </xf>
    <xf numFmtId="0" fontId="0" fillId="4" borderId="23" xfId="0" applyFill="1" applyBorder="1" applyAlignment="1">
      <alignment vertical="center"/>
    </xf>
    <xf numFmtId="0" fontId="0" fillId="10" borderId="0" xfId="0" applyFill="1" applyBorder="1" applyAlignment="1">
      <alignment vertical="center"/>
    </xf>
    <xf numFmtId="0" fontId="6" fillId="10" borderId="0" xfId="0" applyFont="1" applyFill="1" applyBorder="1" applyAlignment="1">
      <alignment vertical="center"/>
    </xf>
    <xf numFmtId="0" fontId="27" fillId="10" borderId="0" xfId="0" applyFont="1" applyFill="1" applyBorder="1" applyAlignment="1">
      <alignment vertical="center"/>
    </xf>
    <xf numFmtId="0" fontId="0" fillId="4" borderId="24" xfId="0" applyFill="1" applyBorder="1" applyAlignment="1">
      <alignment vertical="center"/>
    </xf>
    <xf numFmtId="0" fontId="0" fillId="10" borderId="14" xfId="0" applyFill="1" applyBorder="1" applyAlignment="1">
      <alignment vertical="center"/>
    </xf>
    <xf numFmtId="0" fontId="0" fillId="9" borderId="23" xfId="0" applyFill="1" applyBorder="1" applyAlignment="1">
      <alignment vertical="center"/>
    </xf>
    <xf numFmtId="0" fontId="0" fillId="9" borderId="0" xfId="0" applyFill="1" applyBorder="1" applyAlignment="1">
      <alignment vertical="center"/>
    </xf>
    <xf numFmtId="0" fontId="28" fillId="9" borderId="28" xfId="0" applyFont="1" applyFill="1" applyBorder="1" applyAlignment="1">
      <alignment horizontal="center" vertical="center"/>
    </xf>
    <xf numFmtId="0" fontId="28" fillId="9" borderId="20" xfId="0" applyFont="1" applyFill="1" applyBorder="1" applyAlignment="1">
      <alignment horizontal="center" vertical="center"/>
    </xf>
    <xf numFmtId="0" fontId="15" fillId="9" borderId="0" xfId="0" applyFont="1" applyFill="1" applyBorder="1" applyAlignment="1">
      <alignment vertical="center"/>
    </xf>
    <xf numFmtId="0" fontId="10" fillId="9" borderId="0" xfId="0" applyFont="1" applyFill="1" applyBorder="1" applyAlignment="1">
      <alignment vertical="center"/>
    </xf>
    <xf numFmtId="0" fontId="0" fillId="9" borderId="24" xfId="0" applyFill="1" applyBorder="1" applyAlignment="1">
      <alignment vertical="center"/>
    </xf>
    <xf numFmtId="177" fontId="29" fillId="11" borderId="14" xfId="0" applyNumberFormat="1" applyFont="1" applyFill="1" applyBorder="1" applyAlignment="1" applyProtection="1">
      <alignment horizontal="left" vertical="center"/>
      <protection locked="0"/>
    </xf>
    <xf numFmtId="0" fontId="0" fillId="10" borderId="0" xfId="0" applyFill="1" applyBorder="1" applyAlignment="1">
      <alignment horizontal="center" vertical="center"/>
    </xf>
    <xf numFmtId="0" fontId="0" fillId="11" borderId="8" xfId="0" applyFill="1" applyBorder="1" applyAlignment="1" applyProtection="1">
      <alignment horizontal="left" vertical="center"/>
      <protection locked="0"/>
    </xf>
    <xf numFmtId="0" fontId="0" fillId="11" borderId="9" xfId="0" applyFill="1" applyBorder="1" applyAlignment="1" applyProtection="1">
      <alignment horizontal="left" vertical="center"/>
      <protection locked="0"/>
    </xf>
    <xf numFmtId="0" fontId="0" fillId="10" borderId="0" xfId="0" applyFill="1" applyBorder="1" applyAlignment="1" applyProtection="1">
      <alignment horizontal="left" vertical="center"/>
    </xf>
    <xf numFmtId="0" fontId="10" fillId="9" borderId="0" xfId="0" applyFont="1" applyFill="1" applyBorder="1" applyAlignment="1">
      <alignment horizontal="center" vertical="center"/>
    </xf>
    <xf numFmtId="0" fontId="0" fillId="9" borderId="0" xfId="0" applyFill="1" applyBorder="1" applyAlignment="1">
      <alignment horizontal="left" vertical="center"/>
    </xf>
    <xf numFmtId="0" fontId="0" fillId="9" borderId="0" xfId="0" applyFill="1" applyBorder="1" applyAlignment="1">
      <alignment horizontal="center" vertical="center"/>
    </xf>
    <xf numFmtId="0" fontId="30" fillId="9" borderId="0" xfId="0" applyFont="1" applyFill="1" applyBorder="1" applyAlignment="1">
      <alignment horizontal="center" vertical="center"/>
    </xf>
    <xf numFmtId="0" fontId="0" fillId="11" borderId="7" xfId="0" applyFill="1" applyBorder="1" applyAlignment="1" applyProtection="1">
      <alignment horizontal="left" vertical="center"/>
      <protection locked="0"/>
    </xf>
    <xf numFmtId="0" fontId="0" fillId="9" borderId="0" xfId="0" applyFill="1" applyAlignment="1">
      <alignment vertical="center"/>
    </xf>
    <xf numFmtId="0" fontId="29" fillId="11" borderId="14" xfId="0" applyFont="1" applyFill="1" applyBorder="1" applyAlignment="1" applyProtection="1">
      <alignment horizontal="left" vertical="center"/>
      <protection locked="0"/>
    </xf>
    <xf numFmtId="0" fontId="23" fillId="10" borderId="22" xfId="0" applyFont="1" applyFill="1" applyBorder="1" applyAlignment="1">
      <alignment vertical="center"/>
    </xf>
    <xf numFmtId="0" fontId="23" fillId="4" borderId="22" xfId="0" applyFont="1" applyFill="1" applyBorder="1" applyAlignment="1">
      <alignment vertical="center"/>
    </xf>
    <xf numFmtId="0" fontId="23" fillId="10" borderId="0" xfId="0" applyFont="1" applyFill="1" applyBorder="1" applyAlignment="1">
      <alignment vertical="center"/>
    </xf>
    <xf numFmtId="0" fontId="23" fillId="4" borderId="0" xfId="0" applyFont="1" applyFill="1" applyBorder="1" applyAlignment="1">
      <alignment vertical="center"/>
    </xf>
    <xf numFmtId="0" fontId="0" fillId="4" borderId="0" xfId="0" applyFill="1" applyBorder="1" applyAlignment="1">
      <alignment vertical="center"/>
    </xf>
    <xf numFmtId="0" fontId="0" fillId="11" borderId="10" xfId="0" applyFill="1" applyBorder="1" applyAlignment="1" applyProtection="1">
      <alignment horizontal="left" vertical="center"/>
      <protection locked="0"/>
    </xf>
    <xf numFmtId="0" fontId="0" fillId="4" borderId="14" xfId="0" applyFill="1" applyBorder="1" applyAlignment="1">
      <alignment vertical="center"/>
    </xf>
    <xf numFmtId="0" fontId="31" fillId="10" borderId="0" xfId="0" applyFont="1" applyFill="1" applyBorder="1" applyAlignment="1">
      <alignment horizontal="center" vertical="center"/>
    </xf>
    <xf numFmtId="0" fontId="27" fillId="10" borderId="0" xfId="0" applyFont="1" applyFill="1" applyBorder="1" applyAlignment="1">
      <alignment horizontal="left" vertical="center"/>
    </xf>
    <xf numFmtId="0" fontId="10" fillId="9" borderId="0" xfId="0" applyFont="1" applyFill="1" applyAlignment="1">
      <alignment vertical="center"/>
    </xf>
    <xf numFmtId="1" fontId="31" fillId="11" borderId="8" xfId="0" applyNumberFormat="1" applyFont="1" applyFill="1" applyBorder="1" applyAlignment="1" applyProtection="1">
      <alignment horizontal="left" vertical="center"/>
      <protection locked="0"/>
    </xf>
    <xf numFmtId="1" fontId="31" fillId="11" borderId="9" xfId="0" applyNumberFormat="1" applyFont="1" applyFill="1" applyBorder="1" applyAlignment="1" applyProtection="1">
      <alignment horizontal="left" vertical="center"/>
      <protection locked="0"/>
    </xf>
    <xf numFmtId="0" fontId="0" fillId="10" borderId="0" xfId="0" applyFill="1" applyBorder="1" applyAlignment="1">
      <alignment horizontal="left" vertical="center"/>
    </xf>
    <xf numFmtId="177" fontId="0" fillId="11" borderId="8" xfId="0" applyNumberFormat="1" applyFill="1" applyBorder="1" applyAlignment="1" applyProtection="1">
      <alignment horizontal="left" vertical="center"/>
      <protection locked="0"/>
    </xf>
    <xf numFmtId="177" fontId="0" fillId="11" borderId="9" xfId="0" applyNumberFormat="1" applyFill="1" applyBorder="1" applyAlignment="1" applyProtection="1">
      <alignment horizontal="left" vertical="center"/>
      <protection locked="0"/>
    </xf>
    <xf numFmtId="0" fontId="12" fillId="10" borderId="0" xfId="0" applyFont="1" applyFill="1" applyBorder="1" applyAlignment="1" applyProtection="1">
      <alignment horizontal="left" vertical="center"/>
    </xf>
    <xf numFmtId="0" fontId="0" fillId="11" borderId="14" xfId="0" applyFill="1" applyBorder="1" applyAlignment="1" applyProtection="1">
      <alignment horizontal="center" vertical="center"/>
      <protection locked="0"/>
    </xf>
    <xf numFmtId="1" fontId="31" fillId="11" borderId="10" xfId="0" applyNumberFormat="1" applyFont="1" applyFill="1" applyBorder="1" applyAlignment="1" applyProtection="1">
      <alignment horizontal="left" vertical="center"/>
      <protection locked="0"/>
    </xf>
    <xf numFmtId="0" fontId="32" fillId="10" borderId="0" xfId="0" applyFont="1" applyFill="1" applyBorder="1" applyAlignment="1">
      <alignment horizontal="center" vertical="center"/>
    </xf>
    <xf numFmtId="0" fontId="0" fillId="10" borderId="0" xfId="0" applyFill="1" applyBorder="1" applyAlignment="1" applyProtection="1">
      <alignment horizontal="center" vertical="center"/>
    </xf>
    <xf numFmtId="177" fontId="0" fillId="11" borderId="10" xfId="0" applyNumberFormat="1" applyFill="1" applyBorder="1" applyAlignment="1" applyProtection="1">
      <alignment horizontal="left" vertical="center"/>
      <protection locked="0"/>
    </xf>
    <xf numFmtId="0" fontId="28" fillId="9" borderId="29" xfId="0" applyFont="1" applyFill="1" applyBorder="1" applyAlignment="1">
      <alignment horizontal="center" vertical="center"/>
    </xf>
    <xf numFmtId="0" fontId="33" fillId="8" borderId="0" xfId="0" applyFont="1" applyFill="1" applyAlignment="1">
      <alignment horizontal="center" vertical="center" wrapText="1"/>
    </xf>
    <xf numFmtId="0" fontId="30" fillId="0" borderId="0" xfId="0" applyFont="1" applyAlignment="1">
      <alignment vertical="center"/>
    </xf>
    <xf numFmtId="0" fontId="26" fillId="4" borderId="25" xfId="0" applyFont="1" applyFill="1" applyBorder="1" applyAlignment="1">
      <alignment vertical="center"/>
    </xf>
    <xf numFmtId="0" fontId="26" fillId="0" borderId="0" xfId="0" applyFont="1" applyAlignment="1">
      <alignment vertical="center"/>
    </xf>
    <xf numFmtId="0" fontId="34" fillId="0" borderId="0" xfId="0" applyFont="1"/>
    <xf numFmtId="0" fontId="26" fillId="4" borderId="26" xfId="0" applyFont="1" applyFill="1" applyBorder="1" applyAlignment="1">
      <alignment vertical="center"/>
    </xf>
    <xf numFmtId="0" fontId="0" fillId="4" borderId="26" xfId="0" applyFill="1" applyBorder="1" applyAlignment="1">
      <alignment vertical="center"/>
    </xf>
    <xf numFmtId="177" fontId="34" fillId="0" borderId="0" xfId="0" applyNumberFormat="1" applyFont="1" applyAlignment="1">
      <alignment horizontal="center"/>
    </xf>
    <xf numFmtId="0" fontId="35" fillId="0" borderId="0" xfId="0" applyFont="1" applyAlignment="1">
      <alignment vertical="center"/>
    </xf>
    <xf numFmtId="0" fontId="0" fillId="4" borderId="27" xfId="0" applyFill="1" applyBorder="1" applyAlignment="1">
      <alignment vertical="center"/>
    </xf>
    <xf numFmtId="0" fontId="0" fillId="9" borderId="26" xfId="0" applyFill="1" applyBorder="1" applyAlignment="1">
      <alignment vertical="center"/>
    </xf>
    <xf numFmtId="0" fontId="0" fillId="9" borderId="27" xfId="0" applyFill="1" applyBorder="1" applyAlignment="1">
      <alignment vertical="center"/>
    </xf>
    <xf numFmtId="0" fontId="36" fillId="0" borderId="0" xfId="0" applyFont="1" applyAlignment="1">
      <alignment vertical="center"/>
    </xf>
    <xf numFmtId="0" fontId="37" fillId="0" borderId="0" xfId="0" applyFont="1" applyAlignment="1">
      <alignment vertical="center"/>
    </xf>
    <xf numFmtId="177" fontId="29" fillId="11" borderId="14" xfId="0" applyNumberFormat="1" applyFont="1" applyFill="1" applyBorder="1" applyAlignment="1" applyProtection="1" quotePrefix="1">
      <alignment horizontal="left" vertical="center"/>
      <protection locked="0"/>
    </xf>
    <xf numFmtId="0" fontId="0" fillId="11" borderId="8" xfId="0" applyFill="1" applyBorder="1" applyAlignment="1" applyProtection="1" quotePrefix="1">
      <alignment horizontal="left" vertical="center"/>
      <protection locked="0"/>
    </xf>
    <xf numFmtId="0" fontId="7" fillId="0" borderId="8" xfId="0" applyFont="1" applyBorder="1" applyAlignment="1" quotePrefix="1">
      <alignment horizontal="center" vertical="center"/>
    </xf>
    <xf numFmtId="0" fontId="1" fillId="0" borderId="7" xfId="0" applyFont="1" applyBorder="1" applyAlignment="1" quotePrefix="1">
      <alignment horizontal="center" vertical="center"/>
    </xf>
    <xf numFmtId="0" fontId="1" fillId="0" borderId="6" xfId="0" applyFont="1" applyBorder="1" applyAlignment="1" quotePrefix="1">
      <alignment horizontal="left"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4" Type="http://schemas.microsoft.com/office/2006/relationships/vbaProject" Target="vbaProject.bin"/><Relationship Id="rId23" Type="http://schemas.openxmlformats.org/officeDocument/2006/relationships/sharedStrings" Target="sharedStrings.xml"/><Relationship Id="rId22" Type="http://schemas.openxmlformats.org/officeDocument/2006/relationships/styles" Target="styles.xml"/><Relationship Id="rId21" Type="http://schemas.openxmlformats.org/officeDocument/2006/relationships/theme" Target="theme/theme1.xml"/><Relationship Id="rId20" Type="http://schemas.openxmlformats.org/officeDocument/2006/relationships/customXml" Target="../customXml/item1.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9" Type="http://schemas.openxmlformats.org/officeDocument/2006/relationships/hyperlink" Target="#'KOMP-3'!A1"/><Relationship Id="rId8" Type="http://schemas.openxmlformats.org/officeDocument/2006/relationships/hyperlink" Target="#'KOMP-6'!A1"/><Relationship Id="rId7" Type="http://schemas.openxmlformats.org/officeDocument/2006/relationships/hyperlink" Target="#'KOMP-14'!A1"/><Relationship Id="rId6" Type="http://schemas.openxmlformats.org/officeDocument/2006/relationships/hyperlink" Target="#'KOMP-8'!A1"/><Relationship Id="rId5" Type="http://schemas.openxmlformats.org/officeDocument/2006/relationships/hyperlink" Target="#'KOMP-2'!A1"/><Relationship Id="rId4" Type="http://schemas.openxmlformats.org/officeDocument/2006/relationships/hyperlink" Target="#'KOMP-5'!A1"/><Relationship Id="rId3" Type="http://schemas.openxmlformats.org/officeDocument/2006/relationships/hyperlink" Target="#'KOMP-13'!A1"/><Relationship Id="rId2" Type="http://schemas.openxmlformats.org/officeDocument/2006/relationships/hyperlink" Target="#'KOMP-7'!A1"/><Relationship Id="rId18" Type="http://schemas.openxmlformats.org/officeDocument/2006/relationships/hyperlink" Target="#SETUJU!A1"/><Relationship Id="rId17" Type="http://schemas.openxmlformats.org/officeDocument/2006/relationships/hyperlink" Target="#COVER!A1"/><Relationship Id="rId16" Type="http://schemas.openxmlformats.org/officeDocument/2006/relationships/hyperlink" Target="#'FORMAT 1D'!A1"/><Relationship Id="rId15" Type="http://schemas.openxmlformats.org/officeDocument/2006/relationships/hyperlink" Target="#'FORMAT 1C'!A1"/><Relationship Id="rId14" Type="http://schemas.openxmlformats.org/officeDocument/2006/relationships/hyperlink" Target="#'KOMP-12'!A1"/><Relationship Id="rId13" Type="http://schemas.openxmlformats.org/officeDocument/2006/relationships/hyperlink" Target="#'KOMP-10'!A1"/><Relationship Id="rId12" Type="http://schemas.openxmlformats.org/officeDocument/2006/relationships/hyperlink" Target="#'KOMP-4'!A1"/><Relationship Id="rId11" Type="http://schemas.openxmlformats.org/officeDocument/2006/relationships/hyperlink" Target="#'KOMP-11'!A1"/><Relationship Id="rId10" Type="http://schemas.openxmlformats.org/officeDocument/2006/relationships/hyperlink" Target="#'KOMP-9'!A1"/><Relationship Id="rId1" Type="http://schemas.openxmlformats.org/officeDocument/2006/relationships/hyperlink" Target="#'KOMP-1'!A1"/></Relationships>
</file>

<file path=xl/drawings/_rels/drawing2.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png"/><Relationship Id="rId1" Type="http://schemas.openxmlformats.org/officeDocument/2006/relationships/hyperlink" Target="#IDENTITAS!A1"/></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hyperlink" Target="#IDENTITAS!A1"/></Relationships>
</file>

<file path=xl/drawings/_rels/drawing4.xml.rels><?xml version="1.0" encoding="UTF-8" standalone="yes"?>
<Relationships xmlns="http://schemas.openxmlformats.org/package/2006/relationships"><Relationship Id="rId9" Type="http://schemas.openxmlformats.org/officeDocument/2006/relationships/hyperlink" Target="#'KOMP-8'!A1"/><Relationship Id="rId8" Type="http://schemas.openxmlformats.org/officeDocument/2006/relationships/hyperlink" Target="#'KOMP-7'!A1"/><Relationship Id="rId7" Type="http://schemas.openxmlformats.org/officeDocument/2006/relationships/hyperlink" Target="#'KOMP-6'!A1"/><Relationship Id="rId6" Type="http://schemas.openxmlformats.org/officeDocument/2006/relationships/hyperlink" Target="#'KOMP-5'!A1"/><Relationship Id="rId5" Type="http://schemas.openxmlformats.org/officeDocument/2006/relationships/hyperlink" Target="#'KOMP-4'!A1"/><Relationship Id="rId4" Type="http://schemas.openxmlformats.org/officeDocument/2006/relationships/hyperlink" Target="#'KOMP-3'!A1"/><Relationship Id="rId3" Type="http://schemas.openxmlformats.org/officeDocument/2006/relationships/hyperlink" Target="#'KOMP-2'!A1"/><Relationship Id="rId2" Type="http://schemas.openxmlformats.org/officeDocument/2006/relationships/hyperlink" Target="#'KOMP-1'!A1"/><Relationship Id="rId15" Type="http://schemas.openxmlformats.org/officeDocument/2006/relationships/hyperlink" Target="#'KOMP-14'!A1"/><Relationship Id="rId14" Type="http://schemas.openxmlformats.org/officeDocument/2006/relationships/hyperlink" Target="#'KOMP-13'!A1"/><Relationship Id="rId13" Type="http://schemas.openxmlformats.org/officeDocument/2006/relationships/hyperlink" Target="#'KOMP-12'!A1"/><Relationship Id="rId12" Type="http://schemas.openxmlformats.org/officeDocument/2006/relationships/hyperlink" Target="#'KOMP-11'!A1"/><Relationship Id="rId11" Type="http://schemas.openxmlformats.org/officeDocument/2006/relationships/hyperlink" Target="#'KOMP-10'!A1"/><Relationship Id="rId10" Type="http://schemas.openxmlformats.org/officeDocument/2006/relationships/hyperlink" Target="#'KOMP-9'!A1"/><Relationship Id="rId1" Type="http://schemas.openxmlformats.org/officeDocument/2006/relationships/hyperlink" Target="#IDENTITAS!A1"/></Relationships>
</file>

<file path=xl/drawings/_rels/drawing5.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hyperlink" Target="#IDENTITAS!A1"/></Relationships>
</file>

<file path=xl/drawings/_rels/drawing6.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hyperlink" Target="#'KOMP-13'!A1"/><Relationship Id="rId1" Type="http://schemas.openxmlformats.org/officeDocument/2006/relationships/hyperlink" Target="#'FORMAT 1C'!B26"/></Relationships>
</file>

<file path=xl/drawings/_rels/drawing7.xml.rels><?xml version="1.0" encoding="UTF-8" standalone="yes"?>
<Relationships xmlns="http://schemas.openxmlformats.org/package/2006/relationships"><Relationship Id="rId4" Type="http://schemas.openxmlformats.org/officeDocument/2006/relationships/image" Target="../media/image6.emf"/><Relationship Id="rId3" Type="http://schemas.openxmlformats.org/officeDocument/2006/relationships/hyperlink" Target="#'KOMP-14'!A1"/><Relationship Id="rId2" Type="http://schemas.openxmlformats.org/officeDocument/2006/relationships/hyperlink" Target="#'KOMP-12'!A1"/><Relationship Id="rId1" Type="http://schemas.openxmlformats.org/officeDocument/2006/relationships/hyperlink" Target="#'FORMAT 1C'!B26"/></Relationships>
</file>

<file path=xl/drawings/_rels/drawing8.xml.rels><?xml version="1.0" encoding="UTF-8" standalone="yes"?>
<Relationships xmlns="http://schemas.openxmlformats.org/package/2006/relationships"><Relationship Id="rId4" Type="http://schemas.openxmlformats.org/officeDocument/2006/relationships/image" Target="../media/image7.emf"/><Relationship Id="rId3" Type="http://schemas.openxmlformats.org/officeDocument/2006/relationships/hyperlink" Target="#'KOMP-13'!A1"/><Relationship Id="rId2" Type="http://schemas.openxmlformats.org/officeDocument/2006/relationships/hyperlink" Target="#'KOMP-11'!A1"/><Relationship Id="rId1" Type="http://schemas.openxmlformats.org/officeDocument/2006/relationships/hyperlink" Target="#'FORMAT 1C'!B26"/></Relationships>
</file>

<file path=xl/drawings/_rels/drawing9.xml.rels><?xml version="1.0" encoding="UTF-8" standalone="yes"?>
<Relationships xmlns="http://schemas.openxmlformats.org/package/2006/relationships"><Relationship Id="rId4" Type="http://schemas.openxmlformats.org/officeDocument/2006/relationships/image" Target="../media/image8.emf"/><Relationship Id="rId3" Type="http://schemas.openxmlformats.org/officeDocument/2006/relationships/hyperlink" Target="#'KOMP-12'!A1"/><Relationship Id="rId2" Type="http://schemas.openxmlformats.org/officeDocument/2006/relationships/hyperlink" Target="#'KOMP-10'!A1"/><Relationship Id="rId1" Type="http://schemas.openxmlformats.org/officeDocument/2006/relationships/hyperlink" Target="#'FORMAT 1C'!B26"/></Relationships>
</file>

<file path=xl/drawings/_rels/drawing10.xml.rels><?xml version="1.0" encoding="UTF-8" standalone="yes"?>
<Relationships xmlns="http://schemas.openxmlformats.org/package/2006/relationships"><Relationship Id="rId4" Type="http://schemas.openxmlformats.org/officeDocument/2006/relationships/image" Target="../media/image9.emf"/><Relationship Id="rId3" Type="http://schemas.openxmlformats.org/officeDocument/2006/relationships/hyperlink" Target="#'KOMP-11'!A1"/><Relationship Id="rId2" Type="http://schemas.openxmlformats.org/officeDocument/2006/relationships/hyperlink" Target="#'KOMP-9'!A1"/><Relationship Id="rId1" Type="http://schemas.openxmlformats.org/officeDocument/2006/relationships/hyperlink" Target="#'FORMAT 1C'!B26"/></Relationships>
</file>

<file path=xl/drawings/_rels/drawing11.xml.rels><?xml version="1.0" encoding="UTF-8" standalone="yes"?>
<Relationships xmlns="http://schemas.openxmlformats.org/package/2006/relationships"><Relationship Id="rId4" Type="http://schemas.openxmlformats.org/officeDocument/2006/relationships/image" Target="../media/image10.emf"/><Relationship Id="rId3" Type="http://schemas.openxmlformats.org/officeDocument/2006/relationships/hyperlink" Target="#'KOMP-10'!A1"/><Relationship Id="rId2" Type="http://schemas.openxmlformats.org/officeDocument/2006/relationships/hyperlink" Target="#'KOMP-8'!A1"/><Relationship Id="rId1" Type="http://schemas.openxmlformats.org/officeDocument/2006/relationships/hyperlink" Target="#'FORMAT 1C'!B26"/></Relationships>
</file>

<file path=xl/drawings/_rels/drawing12.xml.rels><?xml version="1.0" encoding="UTF-8" standalone="yes"?>
<Relationships xmlns="http://schemas.openxmlformats.org/package/2006/relationships"><Relationship Id="rId4" Type="http://schemas.openxmlformats.org/officeDocument/2006/relationships/image" Target="../media/image11.emf"/><Relationship Id="rId3" Type="http://schemas.openxmlformats.org/officeDocument/2006/relationships/hyperlink" Target="#'KOMP-9'!A1"/><Relationship Id="rId2" Type="http://schemas.openxmlformats.org/officeDocument/2006/relationships/hyperlink" Target="#'KOMP-7'!A1"/><Relationship Id="rId1" Type="http://schemas.openxmlformats.org/officeDocument/2006/relationships/hyperlink" Target="#'FORMAT 1C'!B26"/></Relationships>
</file>

<file path=xl/drawings/_rels/drawing13.xml.rels><?xml version="1.0" encoding="UTF-8" standalone="yes"?>
<Relationships xmlns="http://schemas.openxmlformats.org/package/2006/relationships"><Relationship Id="rId4" Type="http://schemas.openxmlformats.org/officeDocument/2006/relationships/image" Target="../media/image12.emf"/><Relationship Id="rId3" Type="http://schemas.openxmlformats.org/officeDocument/2006/relationships/hyperlink" Target="#'KOMP-8'!A1"/><Relationship Id="rId2" Type="http://schemas.openxmlformats.org/officeDocument/2006/relationships/hyperlink" Target="#'KOMP-6'!A1"/><Relationship Id="rId1" Type="http://schemas.openxmlformats.org/officeDocument/2006/relationships/hyperlink" Target="#'FORMAT 1C'!B26"/></Relationships>
</file>

<file path=xl/drawings/_rels/drawing14.xml.rels><?xml version="1.0" encoding="UTF-8" standalone="yes"?>
<Relationships xmlns="http://schemas.openxmlformats.org/package/2006/relationships"><Relationship Id="rId4" Type="http://schemas.openxmlformats.org/officeDocument/2006/relationships/image" Target="../media/image13.emf"/><Relationship Id="rId3" Type="http://schemas.openxmlformats.org/officeDocument/2006/relationships/hyperlink" Target="#'KOMP-7'!A1"/><Relationship Id="rId2" Type="http://schemas.openxmlformats.org/officeDocument/2006/relationships/hyperlink" Target="#'KOMP-5'!A1"/><Relationship Id="rId1" Type="http://schemas.openxmlformats.org/officeDocument/2006/relationships/hyperlink" Target="#'FORMAT 1C'!B26"/></Relationships>
</file>

<file path=xl/drawings/_rels/drawing15.xml.rels><?xml version="1.0" encoding="UTF-8" standalone="yes"?>
<Relationships xmlns="http://schemas.openxmlformats.org/package/2006/relationships"><Relationship Id="rId4" Type="http://schemas.openxmlformats.org/officeDocument/2006/relationships/image" Target="../media/image14.emf"/><Relationship Id="rId3" Type="http://schemas.openxmlformats.org/officeDocument/2006/relationships/hyperlink" Target="#'KOMP-6'!A1"/><Relationship Id="rId2" Type="http://schemas.openxmlformats.org/officeDocument/2006/relationships/hyperlink" Target="#'KOMP-4'!A1"/><Relationship Id="rId1" Type="http://schemas.openxmlformats.org/officeDocument/2006/relationships/hyperlink" Target="#'FORMAT 1C'!B26"/></Relationships>
</file>

<file path=xl/drawings/_rels/drawing16.xml.rels><?xml version="1.0" encoding="UTF-8" standalone="yes"?>
<Relationships xmlns="http://schemas.openxmlformats.org/package/2006/relationships"><Relationship Id="rId4" Type="http://schemas.openxmlformats.org/officeDocument/2006/relationships/image" Target="../media/image15.emf"/><Relationship Id="rId3" Type="http://schemas.openxmlformats.org/officeDocument/2006/relationships/hyperlink" Target="#'KOMP-5'!A1"/><Relationship Id="rId2" Type="http://schemas.openxmlformats.org/officeDocument/2006/relationships/hyperlink" Target="#'KOMP-3'!A1"/><Relationship Id="rId1" Type="http://schemas.openxmlformats.org/officeDocument/2006/relationships/hyperlink" Target="#'FORMAT 1C'!B26"/></Relationships>
</file>

<file path=xl/drawings/_rels/drawing17.xml.rels><?xml version="1.0" encoding="UTF-8" standalone="yes"?>
<Relationships xmlns="http://schemas.openxmlformats.org/package/2006/relationships"><Relationship Id="rId4" Type="http://schemas.openxmlformats.org/officeDocument/2006/relationships/image" Target="../media/image16.emf"/><Relationship Id="rId3" Type="http://schemas.openxmlformats.org/officeDocument/2006/relationships/hyperlink" Target="#'KOMP-4'!A1"/><Relationship Id="rId2" Type="http://schemas.openxmlformats.org/officeDocument/2006/relationships/hyperlink" Target="#'KOMP-2'!A1"/><Relationship Id="rId1" Type="http://schemas.openxmlformats.org/officeDocument/2006/relationships/hyperlink" Target="#'FORMAT 1C'!B26"/></Relationships>
</file>

<file path=xl/drawings/_rels/drawing18.xml.rels><?xml version="1.0" encoding="UTF-8" standalone="yes"?>
<Relationships xmlns="http://schemas.openxmlformats.org/package/2006/relationships"><Relationship Id="rId4" Type="http://schemas.openxmlformats.org/officeDocument/2006/relationships/image" Target="../media/image17.emf"/><Relationship Id="rId3" Type="http://schemas.openxmlformats.org/officeDocument/2006/relationships/hyperlink" Target="#'KOMP-3'!A1"/><Relationship Id="rId2" Type="http://schemas.openxmlformats.org/officeDocument/2006/relationships/hyperlink" Target="#'KOMP-1'!A1"/><Relationship Id="rId1" Type="http://schemas.openxmlformats.org/officeDocument/2006/relationships/hyperlink" Target="#'FORMAT 1C'!B26"/></Relationships>
</file>

<file path=xl/drawings/_rels/drawing19.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hyperlink" Target="#'KOMP-2'!A1"/><Relationship Id="rId1" Type="http://schemas.openxmlformats.org/officeDocument/2006/relationships/hyperlink" Target="#'FORMAT 1C'!B26"/></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2</xdr:col>
      <xdr:colOff>74246</xdr:colOff>
      <xdr:row>26</xdr:row>
      <xdr:rowOff>87609</xdr:rowOff>
    </xdr:from>
    <xdr:to>
      <xdr:col>4</xdr:col>
      <xdr:colOff>302165</xdr:colOff>
      <xdr:row>28</xdr:row>
      <xdr:rowOff>87609</xdr:rowOff>
    </xdr:to>
    <xdr:sp>
      <xdr:nvSpPr>
        <xdr:cNvPr id="2" name="Bevel 1">
          <a:hlinkClick xmlns:r="http://schemas.openxmlformats.org/officeDocument/2006/relationships" r:id="rId1"/>
        </xdr:cNvPr>
        <xdr:cNvSpPr/>
      </xdr:nvSpPr>
      <xdr:spPr>
        <a:xfrm>
          <a:off x="726440" y="4868545"/>
          <a:ext cx="1621155"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100" b="1">
              <a:solidFill>
                <a:sysClr val="windowText" lastClr="000000"/>
              </a:solidFill>
              <a:latin typeface="Tahoma" pitchFamily="34" charset="0"/>
              <a:ea typeface="Tahoma" pitchFamily="34" charset="0"/>
              <a:cs typeface="Tahoma" pitchFamily="34" charset="0"/>
            </a:rPr>
            <a:t>KOMPETENSI 1</a:t>
          </a:r>
          <a:endParaRPr lang="id-ID" sz="11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2</xdr:col>
      <xdr:colOff>80155</xdr:colOff>
      <xdr:row>28</xdr:row>
      <xdr:rowOff>94484</xdr:rowOff>
    </xdr:from>
    <xdr:to>
      <xdr:col>4</xdr:col>
      <xdr:colOff>308074</xdr:colOff>
      <xdr:row>30</xdr:row>
      <xdr:rowOff>94484</xdr:rowOff>
    </xdr:to>
    <xdr:sp>
      <xdr:nvSpPr>
        <xdr:cNvPr id="3" name="Bevel 2">
          <a:hlinkClick xmlns:r="http://schemas.openxmlformats.org/officeDocument/2006/relationships" r:id="rId2"/>
        </xdr:cNvPr>
        <xdr:cNvSpPr/>
      </xdr:nvSpPr>
      <xdr:spPr>
        <a:xfrm>
          <a:off x="732790" y="5237480"/>
          <a:ext cx="1621155"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100" b="1">
              <a:solidFill>
                <a:sysClr val="windowText" lastClr="000000"/>
              </a:solidFill>
              <a:latin typeface="Tahoma" pitchFamily="34" charset="0"/>
              <a:ea typeface="Tahoma" pitchFamily="34" charset="0"/>
              <a:cs typeface="Tahoma" pitchFamily="34" charset="0"/>
            </a:rPr>
            <a:t>KOMPETENSI 7</a:t>
          </a:r>
          <a:endParaRPr lang="id-ID" sz="11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4</xdr:col>
      <xdr:colOff>319630</xdr:colOff>
      <xdr:row>30</xdr:row>
      <xdr:rowOff>95216</xdr:rowOff>
    </xdr:from>
    <xdr:to>
      <xdr:col>7</xdr:col>
      <xdr:colOff>571500</xdr:colOff>
      <xdr:row>32</xdr:row>
      <xdr:rowOff>95216</xdr:rowOff>
    </xdr:to>
    <xdr:sp>
      <xdr:nvSpPr>
        <xdr:cNvPr id="4" name="Bevel 3">
          <a:hlinkClick xmlns:r="http://schemas.openxmlformats.org/officeDocument/2006/relationships" r:id="rId3"/>
        </xdr:cNvPr>
        <xdr:cNvSpPr/>
      </xdr:nvSpPr>
      <xdr:spPr>
        <a:xfrm>
          <a:off x="2365375" y="5600065"/>
          <a:ext cx="1732280"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100" b="1">
              <a:solidFill>
                <a:sysClr val="windowText" lastClr="000000"/>
              </a:solidFill>
              <a:latin typeface="Tahoma" pitchFamily="34" charset="0"/>
              <a:ea typeface="Tahoma" pitchFamily="34" charset="0"/>
              <a:cs typeface="Tahoma" pitchFamily="34" charset="0"/>
            </a:rPr>
            <a:t>KOMPETENSI 13</a:t>
          </a:r>
          <a:endParaRPr lang="id-ID" sz="11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15</xdr:col>
      <xdr:colOff>122507</xdr:colOff>
      <xdr:row>26</xdr:row>
      <xdr:rowOff>83161</xdr:rowOff>
    </xdr:from>
    <xdr:to>
      <xdr:col>18</xdr:col>
      <xdr:colOff>346138</xdr:colOff>
      <xdr:row>28</xdr:row>
      <xdr:rowOff>83161</xdr:rowOff>
    </xdr:to>
    <xdr:sp>
      <xdr:nvSpPr>
        <xdr:cNvPr id="5" name="Bevel 4">
          <a:hlinkClick xmlns:r="http://schemas.openxmlformats.org/officeDocument/2006/relationships" r:id="rId4"/>
        </xdr:cNvPr>
        <xdr:cNvSpPr/>
      </xdr:nvSpPr>
      <xdr:spPr>
        <a:xfrm>
          <a:off x="7750175" y="4864100"/>
          <a:ext cx="1758315"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5</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4</xdr:col>
      <xdr:colOff>303877</xdr:colOff>
      <xdr:row>26</xdr:row>
      <xdr:rowOff>82632</xdr:rowOff>
    </xdr:from>
    <xdr:to>
      <xdr:col>7</xdr:col>
      <xdr:colOff>577203</xdr:colOff>
      <xdr:row>28</xdr:row>
      <xdr:rowOff>82632</xdr:rowOff>
    </xdr:to>
    <xdr:sp>
      <xdr:nvSpPr>
        <xdr:cNvPr id="6" name="Bevel 5">
          <a:hlinkClick xmlns:r="http://schemas.openxmlformats.org/officeDocument/2006/relationships" r:id="rId5"/>
        </xdr:cNvPr>
        <xdr:cNvSpPr/>
      </xdr:nvSpPr>
      <xdr:spPr>
        <a:xfrm>
          <a:off x="2349500" y="4864100"/>
          <a:ext cx="1753235"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2</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4</xdr:col>
      <xdr:colOff>309786</xdr:colOff>
      <xdr:row>28</xdr:row>
      <xdr:rowOff>89507</xdr:rowOff>
    </xdr:from>
    <xdr:to>
      <xdr:col>7</xdr:col>
      <xdr:colOff>583112</xdr:colOff>
      <xdr:row>30</xdr:row>
      <xdr:rowOff>89507</xdr:rowOff>
    </xdr:to>
    <xdr:sp>
      <xdr:nvSpPr>
        <xdr:cNvPr id="7" name="Bevel 6">
          <a:hlinkClick xmlns:r="http://schemas.openxmlformats.org/officeDocument/2006/relationships" r:id="rId6"/>
        </xdr:cNvPr>
        <xdr:cNvSpPr/>
      </xdr:nvSpPr>
      <xdr:spPr>
        <a:xfrm>
          <a:off x="2355215" y="5232400"/>
          <a:ext cx="1753870"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8</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15</xdr:col>
      <xdr:colOff>124721</xdr:colOff>
      <xdr:row>30</xdr:row>
      <xdr:rowOff>73910</xdr:rowOff>
    </xdr:from>
    <xdr:to>
      <xdr:col>18</xdr:col>
      <xdr:colOff>349062</xdr:colOff>
      <xdr:row>32</xdr:row>
      <xdr:rowOff>73910</xdr:rowOff>
    </xdr:to>
    <xdr:sp>
      <xdr:nvSpPr>
        <xdr:cNvPr id="8" name="Bevel 7">
          <a:hlinkClick xmlns:r="http://schemas.openxmlformats.org/officeDocument/2006/relationships" r:id="rId7"/>
        </xdr:cNvPr>
        <xdr:cNvSpPr/>
      </xdr:nvSpPr>
      <xdr:spPr>
        <a:xfrm>
          <a:off x="7752715" y="5579110"/>
          <a:ext cx="1758315"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14</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18</xdr:col>
      <xdr:colOff>345498</xdr:colOff>
      <xdr:row>26</xdr:row>
      <xdr:rowOff>87085</xdr:rowOff>
    </xdr:from>
    <xdr:to>
      <xdr:col>21</xdr:col>
      <xdr:colOff>83768</xdr:colOff>
      <xdr:row>28</xdr:row>
      <xdr:rowOff>78184</xdr:rowOff>
    </xdr:to>
    <xdr:sp>
      <xdr:nvSpPr>
        <xdr:cNvPr id="9" name="Bevel 8">
          <a:hlinkClick xmlns:r="http://schemas.openxmlformats.org/officeDocument/2006/relationships" r:id="rId8"/>
        </xdr:cNvPr>
        <xdr:cNvSpPr/>
      </xdr:nvSpPr>
      <xdr:spPr>
        <a:xfrm>
          <a:off x="9507855" y="4868545"/>
          <a:ext cx="1827530" cy="35306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6</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7</xdr:col>
      <xdr:colOff>580730</xdr:colOff>
      <xdr:row>26</xdr:row>
      <xdr:rowOff>79800</xdr:rowOff>
    </xdr:from>
    <xdr:to>
      <xdr:col>11</xdr:col>
      <xdr:colOff>133470</xdr:colOff>
      <xdr:row>28</xdr:row>
      <xdr:rowOff>79800</xdr:rowOff>
    </xdr:to>
    <xdr:sp>
      <xdr:nvSpPr>
        <xdr:cNvPr id="10" name="Bevel 9">
          <a:hlinkClick xmlns:r="http://schemas.openxmlformats.org/officeDocument/2006/relationships" r:id="rId9"/>
        </xdr:cNvPr>
        <xdr:cNvSpPr/>
      </xdr:nvSpPr>
      <xdr:spPr>
        <a:xfrm>
          <a:off x="4106545" y="4860925"/>
          <a:ext cx="1849120"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3</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7</xdr:col>
      <xdr:colOff>582560</xdr:colOff>
      <xdr:row>28</xdr:row>
      <xdr:rowOff>86675</xdr:rowOff>
    </xdr:from>
    <xdr:to>
      <xdr:col>11</xdr:col>
      <xdr:colOff>135300</xdr:colOff>
      <xdr:row>30</xdr:row>
      <xdr:rowOff>86675</xdr:rowOff>
    </xdr:to>
    <xdr:sp>
      <xdr:nvSpPr>
        <xdr:cNvPr id="11" name="Bevel 10">
          <a:hlinkClick xmlns:r="http://schemas.openxmlformats.org/officeDocument/2006/relationships" r:id="rId10"/>
        </xdr:cNvPr>
        <xdr:cNvSpPr/>
      </xdr:nvSpPr>
      <xdr:spPr>
        <a:xfrm>
          <a:off x="4108450" y="5229860"/>
          <a:ext cx="1849120"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9</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15</xdr:col>
      <xdr:colOff>130476</xdr:colOff>
      <xdr:row>28</xdr:row>
      <xdr:rowOff>86124</xdr:rowOff>
    </xdr:from>
    <xdr:to>
      <xdr:col>18</xdr:col>
      <xdr:colOff>344364</xdr:colOff>
      <xdr:row>30</xdr:row>
      <xdr:rowOff>86124</xdr:rowOff>
    </xdr:to>
    <xdr:sp>
      <xdr:nvSpPr>
        <xdr:cNvPr id="12" name="Bevel 11">
          <a:hlinkClick xmlns:r="http://schemas.openxmlformats.org/officeDocument/2006/relationships" r:id="rId11"/>
        </xdr:cNvPr>
        <xdr:cNvSpPr/>
      </xdr:nvSpPr>
      <xdr:spPr>
        <a:xfrm>
          <a:off x="7758430" y="5229225"/>
          <a:ext cx="1748155"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11</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11</xdr:col>
      <xdr:colOff>134584</xdr:colOff>
      <xdr:row>26</xdr:row>
      <xdr:rowOff>80586</xdr:rowOff>
    </xdr:from>
    <xdr:to>
      <xdr:col>15</xdr:col>
      <xdr:colOff>120942</xdr:colOff>
      <xdr:row>28</xdr:row>
      <xdr:rowOff>80586</xdr:rowOff>
    </xdr:to>
    <xdr:sp>
      <xdr:nvSpPr>
        <xdr:cNvPr id="14" name="Bevel 13">
          <a:hlinkClick xmlns:r="http://schemas.openxmlformats.org/officeDocument/2006/relationships" r:id="rId12"/>
        </xdr:cNvPr>
        <xdr:cNvSpPr/>
      </xdr:nvSpPr>
      <xdr:spPr>
        <a:xfrm>
          <a:off x="5956300" y="4861560"/>
          <a:ext cx="1792605"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4</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11</xdr:col>
      <xdr:colOff>135050</xdr:colOff>
      <xdr:row>28</xdr:row>
      <xdr:rowOff>87461</xdr:rowOff>
    </xdr:from>
    <xdr:to>
      <xdr:col>15</xdr:col>
      <xdr:colOff>121408</xdr:colOff>
      <xdr:row>30</xdr:row>
      <xdr:rowOff>87461</xdr:rowOff>
    </xdr:to>
    <xdr:sp>
      <xdr:nvSpPr>
        <xdr:cNvPr id="15" name="Bevel 14">
          <a:hlinkClick xmlns:r="http://schemas.openxmlformats.org/officeDocument/2006/relationships" r:id="rId13"/>
        </xdr:cNvPr>
        <xdr:cNvSpPr/>
      </xdr:nvSpPr>
      <xdr:spPr>
        <a:xfrm>
          <a:off x="5956935" y="5230495"/>
          <a:ext cx="1792605"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10</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18</xdr:col>
      <xdr:colOff>343153</xdr:colOff>
      <xdr:row>28</xdr:row>
      <xdr:rowOff>81147</xdr:rowOff>
    </xdr:from>
    <xdr:to>
      <xdr:col>21</xdr:col>
      <xdr:colOff>78499</xdr:colOff>
      <xdr:row>30</xdr:row>
      <xdr:rowOff>81147</xdr:rowOff>
    </xdr:to>
    <xdr:sp>
      <xdr:nvSpPr>
        <xdr:cNvPr id="16" name="Bevel 15">
          <a:hlinkClick xmlns:r="http://schemas.openxmlformats.org/officeDocument/2006/relationships" r:id="rId14"/>
        </xdr:cNvPr>
        <xdr:cNvSpPr/>
      </xdr:nvSpPr>
      <xdr:spPr>
        <a:xfrm>
          <a:off x="9505315" y="5224145"/>
          <a:ext cx="1824990" cy="361950"/>
        </a:xfrm>
        <a:prstGeom prst="bevel">
          <a:avLst/>
        </a:prstGeom>
        <a:solidFill>
          <a:srgbClr val="FFFF00"/>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200" b="1">
              <a:solidFill>
                <a:sysClr val="windowText" lastClr="000000"/>
              </a:solidFill>
              <a:latin typeface="Tahoma" pitchFamily="34" charset="0"/>
              <a:ea typeface="Tahoma" pitchFamily="34" charset="0"/>
              <a:cs typeface="Tahoma" pitchFamily="34" charset="0"/>
            </a:rPr>
            <a:t>KOMPETENSI 12</a:t>
          </a:r>
          <a:endParaRPr lang="id-ID" sz="1200" b="1">
            <a:solidFill>
              <a:sysClr val="windowText" lastClr="000000"/>
            </a:solidFill>
            <a:latin typeface="Tahoma" pitchFamily="34" charset="0"/>
            <a:ea typeface="Tahoma" pitchFamily="34" charset="0"/>
            <a:cs typeface="Tahoma" pitchFamily="34" charset="0"/>
          </a:endParaRPr>
        </a:p>
      </xdr:txBody>
    </xdr:sp>
    <xdr:clientData/>
  </xdr:twoCellAnchor>
  <xdr:twoCellAnchor>
    <xdr:from>
      <xdr:col>8</xdr:col>
      <xdr:colOff>273735</xdr:colOff>
      <xdr:row>30</xdr:row>
      <xdr:rowOff>190494</xdr:rowOff>
    </xdr:from>
    <xdr:to>
      <xdr:col>11</xdr:col>
      <xdr:colOff>127738</xdr:colOff>
      <xdr:row>33</xdr:row>
      <xdr:rowOff>33611</xdr:rowOff>
    </xdr:to>
    <xdr:sp>
      <xdr:nvSpPr>
        <xdr:cNvPr id="23" name="Round Diagonal Corner Rectangle 22">
          <a:hlinkClick xmlns:r="http://schemas.openxmlformats.org/officeDocument/2006/relationships" r:id="rId15"/>
        </xdr:cNvPr>
        <xdr:cNvSpPr/>
      </xdr:nvSpPr>
      <xdr:spPr>
        <a:xfrm>
          <a:off x="4496435" y="5686425"/>
          <a:ext cx="1453515" cy="394970"/>
        </a:xfrm>
        <a:prstGeom prst="round2Diag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id-ID" sz="1400" b="1"/>
            <a:t>FORMAT 1C</a:t>
          </a:r>
          <a:endParaRPr lang="id-ID" sz="1400" b="1"/>
        </a:p>
      </xdr:txBody>
    </xdr:sp>
    <xdr:clientData/>
  </xdr:twoCellAnchor>
  <xdr:twoCellAnchor>
    <xdr:from>
      <xdr:col>11</xdr:col>
      <xdr:colOff>127107</xdr:colOff>
      <xdr:row>30</xdr:row>
      <xdr:rowOff>186010</xdr:rowOff>
    </xdr:from>
    <xdr:to>
      <xdr:col>14</xdr:col>
      <xdr:colOff>412057</xdr:colOff>
      <xdr:row>33</xdr:row>
      <xdr:rowOff>33618</xdr:rowOff>
    </xdr:to>
    <xdr:sp>
      <xdr:nvSpPr>
        <xdr:cNvPr id="24" name="Round Diagonal Corner Rectangle 23">
          <a:hlinkClick xmlns:r="http://schemas.openxmlformats.org/officeDocument/2006/relationships" r:id="rId16"/>
        </xdr:cNvPr>
        <xdr:cNvSpPr/>
      </xdr:nvSpPr>
      <xdr:spPr>
        <a:xfrm>
          <a:off x="5949315" y="5686425"/>
          <a:ext cx="1393825" cy="394970"/>
        </a:xfrm>
        <a:prstGeom prst="round2Diag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id-ID" sz="1400" b="1"/>
            <a:t>FORMAT 1D</a:t>
          </a:r>
          <a:endParaRPr lang="id-ID" sz="1400" b="1"/>
        </a:p>
      </xdr:txBody>
    </xdr:sp>
    <xdr:clientData/>
  </xdr:twoCellAnchor>
  <xdr:twoCellAnchor>
    <xdr:from>
      <xdr:col>2</xdr:col>
      <xdr:colOff>280148</xdr:colOff>
      <xdr:row>30</xdr:row>
      <xdr:rowOff>123265</xdr:rowOff>
    </xdr:from>
    <xdr:to>
      <xdr:col>4</xdr:col>
      <xdr:colOff>134472</xdr:colOff>
      <xdr:row>33</xdr:row>
      <xdr:rowOff>0</xdr:rowOff>
    </xdr:to>
    <xdr:sp>
      <xdr:nvSpPr>
        <xdr:cNvPr id="18" name="Round Same Side Corner Rectangle 17">
          <a:hlinkClick xmlns:r="http://schemas.openxmlformats.org/officeDocument/2006/relationships" r:id="rId17"/>
        </xdr:cNvPr>
        <xdr:cNvSpPr/>
      </xdr:nvSpPr>
      <xdr:spPr>
        <a:xfrm>
          <a:off x="932815" y="5628640"/>
          <a:ext cx="1247140" cy="419735"/>
        </a:xfrm>
        <a:prstGeom prst="round2Same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1100" b="1">
              <a:solidFill>
                <a:sysClr val="windowText" lastClr="000000"/>
              </a:solidFill>
            </a:rPr>
            <a:t>COVER</a:t>
          </a:r>
          <a:endParaRPr lang="id-ID" sz="1100" b="1">
            <a:solidFill>
              <a:sysClr val="windowText" lastClr="000000"/>
            </a:solidFill>
          </a:endParaRPr>
        </a:p>
      </xdr:txBody>
    </xdr:sp>
    <xdr:clientData/>
  </xdr:twoCellAnchor>
  <xdr:twoCellAnchor>
    <xdr:from>
      <xdr:col>18</xdr:col>
      <xdr:colOff>600646</xdr:colOff>
      <xdr:row>30</xdr:row>
      <xdr:rowOff>96369</xdr:rowOff>
    </xdr:from>
    <xdr:to>
      <xdr:col>20</xdr:col>
      <xdr:colOff>454969</xdr:colOff>
      <xdr:row>32</xdr:row>
      <xdr:rowOff>163604</xdr:rowOff>
    </xdr:to>
    <xdr:sp>
      <xdr:nvSpPr>
        <xdr:cNvPr id="19" name="Round Same Side Corner Rectangle 18">
          <a:hlinkClick xmlns:r="http://schemas.openxmlformats.org/officeDocument/2006/relationships" r:id="rId18"/>
        </xdr:cNvPr>
        <xdr:cNvSpPr/>
      </xdr:nvSpPr>
      <xdr:spPr>
        <a:xfrm>
          <a:off x="9762490" y="5601335"/>
          <a:ext cx="1247775" cy="429260"/>
        </a:xfrm>
        <a:prstGeom prst="round2Same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1100" b="1">
              <a:solidFill>
                <a:sysClr val="windowText" lastClr="000000"/>
              </a:solidFill>
            </a:rPr>
            <a:t>PERSETUJUAN</a:t>
          </a:r>
          <a:endParaRPr lang="id-ID" sz="1100" b="1">
            <a:solidFill>
              <a:sysClr val="windowText" lastClr="000000"/>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9</xdr:col>
      <xdr:colOff>405848</xdr:colOff>
      <xdr:row>1</xdr:row>
      <xdr:rowOff>104366</xdr:rowOff>
    </xdr:from>
    <xdr:to>
      <xdr:col>10</xdr:col>
      <xdr:colOff>462999</xdr:colOff>
      <xdr:row>2</xdr:row>
      <xdr:rowOff>199616</xdr:rowOff>
    </xdr:to>
    <xdr:sp>
      <xdr:nvSpPr>
        <xdr:cNvPr id="2" name="Round Diagonal Corner Rectangle 1">
          <a:hlinkClick xmlns:r="http://schemas.openxmlformats.org/officeDocument/2006/relationships" r:id="rId1"/>
        </xdr:cNvPr>
        <xdr:cNvSpPr/>
      </xdr:nvSpPr>
      <xdr:spPr>
        <a:xfrm>
          <a:off x="6577965" y="285115"/>
          <a:ext cx="742950" cy="276225"/>
        </a:xfrm>
        <a:prstGeom prst="round2Diag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100" b="0">
              <a:latin typeface="Bauhaus 93" pitchFamily="82" charset="0"/>
            </a:rPr>
            <a:t>MENU</a:t>
          </a:r>
          <a:endParaRPr lang="id-ID" sz="1100" b="0">
            <a:latin typeface="Bauhaus 93" pitchFamily="82" charset="0"/>
          </a:endParaRPr>
        </a:p>
      </xdr:txBody>
    </xdr:sp>
    <xdr:clientData/>
  </xdr:twoCellAnchor>
  <xdr:twoCellAnchor editAs="oneCell">
    <xdr:from>
      <xdr:col>3</xdr:col>
      <xdr:colOff>8282</xdr:colOff>
      <xdr:row>7</xdr:row>
      <xdr:rowOff>173934</xdr:rowOff>
    </xdr:from>
    <xdr:to>
      <xdr:col>6</xdr:col>
      <xdr:colOff>141942</xdr:colOff>
      <xdr:row>18</xdr:row>
      <xdr:rowOff>104774</xdr:rowOff>
    </xdr:to>
    <xdr:pic>
      <xdr:nvPicPr>
        <xdr:cNvPr id="6" name="Picture 21" descr="turi.png"/>
        <xdr:cNvPicPr>
          <a:picLocks noChangeAspect="1"/>
        </xdr:cNvPicPr>
      </xdr:nvPicPr>
      <xdr:blipFill>
        <a:blip r:embed="rId2" cstate="print"/>
        <a:srcRect/>
        <a:stretch>
          <a:fillRect/>
        </a:stretch>
      </xdr:blipFill>
      <xdr:spPr>
        <a:xfrm>
          <a:off x="2065655" y="2649855"/>
          <a:ext cx="2190750" cy="1921510"/>
        </a:xfrm>
        <a:prstGeom prst="rect">
          <a:avLst/>
        </a:prstGeom>
        <a:noFill/>
        <a:ln w="9525">
          <a:noFill/>
          <a:miter lim="800000"/>
          <a:headEnd/>
          <a:tailEnd/>
        </a:ln>
      </xdr:spPr>
    </xdr:pic>
    <xdr:clientData/>
  </xdr:twoCellAnchor>
  <xdr:twoCellAnchor editAs="oneCell">
    <xdr:from>
      <xdr:col>9</xdr:col>
      <xdr:colOff>447675</xdr:colOff>
      <xdr:row>2</xdr:row>
      <xdr:rowOff>257175</xdr:rowOff>
    </xdr:from>
    <xdr:to>
      <xdr:col>10</xdr:col>
      <xdr:colOff>523875</xdr:colOff>
      <xdr:row>3</xdr:row>
      <xdr:rowOff>114300</xdr:rowOff>
    </xdr:to>
    <xdr:pic>
      <xdr:nvPicPr>
        <xdr:cNvPr id="19457" name="CommandButton1"/>
        <xdr:cNvPicPr>
          <a:picLocks noChangeAspect="1" noChangeArrowheads="1"/>
        </xdr:cNvPicPr>
      </xdr:nvPicPr>
      <xdr:blipFill>
        <a:blip r:embed="rId3">
          <a:extLst>
            <a:ext uri="{28A0092B-C50C-407E-A947-70E740481C1C}">
              <a14:useLocalDpi xmlns:a14="http://schemas.microsoft.com/office/drawing/2010/main" val="0"/>
            </a:ext>
          </a:extLst>
        </a:blip>
        <a:srcRect/>
        <a:stretch>
          <a:fillRect/>
        </a:stretch>
      </xdr:blipFill>
      <xdr:spPr>
        <a:xfrm>
          <a:off x="6619875" y="619125"/>
          <a:ext cx="7620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8</xdr:col>
      <xdr:colOff>337038</xdr:colOff>
      <xdr:row>1</xdr:row>
      <xdr:rowOff>212480</xdr:rowOff>
    </xdr:from>
    <xdr:to>
      <xdr:col>9</xdr:col>
      <xdr:colOff>395654</xdr:colOff>
      <xdr:row>3</xdr:row>
      <xdr:rowOff>87923</xdr:rowOff>
    </xdr:to>
    <xdr:sp>
      <xdr:nvSpPr>
        <xdr:cNvPr id="2" name="Round Diagonal Corner Rectangle 1">
          <a:hlinkClick xmlns:r="http://schemas.openxmlformats.org/officeDocument/2006/relationships" r:id="rId1"/>
        </xdr:cNvPr>
        <xdr:cNvSpPr/>
      </xdr:nvSpPr>
      <xdr:spPr>
        <a:xfrm>
          <a:off x="6343650" y="440690"/>
          <a:ext cx="755650" cy="285115"/>
        </a:xfrm>
        <a:prstGeom prst="round2Diag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id-ID" sz="1100" b="0">
              <a:latin typeface="Bauhaus 93" pitchFamily="82" charset="0"/>
            </a:rPr>
            <a:t>MENU</a:t>
          </a:r>
          <a:endParaRPr lang="id-ID" sz="1100" b="0">
            <a:latin typeface="Bauhaus 93" pitchFamily="82" charset="0"/>
          </a:endParaRPr>
        </a:p>
      </xdr:txBody>
    </xdr:sp>
    <xdr:clientData/>
  </xdr:twoCellAnchor>
  <xdr:twoCellAnchor editAs="oneCell">
    <xdr:from>
      <xdr:col>8</xdr:col>
      <xdr:colOff>361950</xdr:colOff>
      <xdr:row>3</xdr:row>
      <xdr:rowOff>152400</xdr:rowOff>
    </xdr:from>
    <xdr:to>
      <xdr:col>9</xdr:col>
      <xdr:colOff>390525</xdr:colOff>
      <xdr:row>4</xdr:row>
      <xdr:rowOff>180975</xdr:rowOff>
    </xdr:to>
    <xdr:pic>
      <xdr:nvPicPr>
        <xdr:cNvPr id="18437" name="CommandButton1"/>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6369050" y="790575"/>
          <a:ext cx="72517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12</xdr:col>
      <xdr:colOff>171450</xdr:colOff>
      <xdr:row>1</xdr:row>
      <xdr:rowOff>66675</xdr:rowOff>
    </xdr:from>
    <xdr:to>
      <xdr:col>13</xdr:col>
      <xdr:colOff>476250</xdr:colOff>
      <xdr:row>3</xdr:row>
      <xdr:rowOff>76200</xdr:rowOff>
    </xdr:to>
    <xdr:sp>
      <xdr:nvSpPr>
        <xdr:cNvPr id="2" name="Round Same Side Corner Rectangle 1">
          <a:hlinkClick xmlns:r="http://schemas.openxmlformats.org/officeDocument/2006/relationships" r:id="rId1"/>
        </xdr:cNvPr>
        <xdr:cNvSpPr/>
      </xdr:nvSpPr>
      <xdr:spPr>
        <a:xfrm>
          <a:off x="7353935" y="152400"/>
          <a:ext cx="1001395" cy="485775"/>
        </a:xfrm>
        <a:prstGeom prst="round2SameRect">
          <a:avLst/>
        </a:prstGeom>
        <a:solidFill>
          <a:schemeClr val="tx2">
            <a:lumMod val="40000"/>
            <a:lumOff val="60000"/>
          </a:schemeClr>
        </a:solidFill>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1600" b="1">
              <a:solidFill>
                <a:srgbClr val="FF0000"/>
              </a:solidFill>
            </a:rPr>
            <a:t>MENU</a:t>
          </a:r>
          <a:endParaRPr lang="id-ID" sz="1600" b="1">
            <a:solidFill>
              <a:srgbClr val="FF0000"/>
            </a:solidFill>
          </a:endParaRPr>
        </a:p>
      </xdr:txBody>
    </xdr:sp>
    <xdr:clientData/>
  </xdr:twoCellAnchor>
  <xdr:twoCellAnchor>
    <xdr:from>
      <xdr:col>12</xdr:col>
      <xdr:colOff>333375</xdr:colOff>
      <xdr:row>24</xdr:row>
      <xdr:rowOff>123825</xdr:rowOff>
    </xdr:from>
    <xdr:to>
      <xdr:col>13</xdr:col>
      <xdr:colOff>333375</xdr:colOff>
      <xdr:row>26</xdr:row>
      <xdr:rowOff>19050</xdr:rowOff>
    </xdr:to>
    <xdr:sp>
      <xdr:nvSpPr>
        <xdr:cNvPr id="3" name="Flowchart: Terminator 2">
          <a:hlinkClick xmlns:r="http://schemas.openxmlformats.org/officeDocument/2006/relationships" r:id="rId2"/>
        </xdr:cNvPr>
        <xdr:cNvSpPr/>
      </xdr:nvSpPr>
      <xdr:spPr>
        <a:xfrm>
          <a:off x="7515860" y="5267325"/>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1</a:t>
          </a:r>
          <a:endParaRPr lang="id-ID" sz="1100" b="1">
            <a:latin typeface="Elephant" pitchFamily="18" charset="0"/>
          </a:endParaRPr>
        </a:p>
      </xdr:txBody>
    </xdr:sp>
    <xdr:clientData/>
  </xdr:twoCellAnchor>
  <xdr:twoCellAnchor>
    <xdr:from>
      <xdr:col>12</xdr:col>
      <xdr:colOff>333375</xdr:colOff>
      <xdr:row>26</xdr:row>
      <xdr:rowOff>38100</xdr:rowOff>
    </xdr:from>
    <xdr:to>
      <xdr:col>13</xdr:col>
      <xdr:colOff>333375</xdr:colOff>
      <xdr:row>27</xdr:row>
      <xdr:rowOff>133350</xdr:rowOff>
    </xdr:to>
    <xdr:sp>
      <xdr:nvSpPr>
        <xdr:cNvPr id="4" name="Flowchart: Terminator 3">
          <a:hlinkClick xmlns:r="http://schemas.openxmlformats.org/officeDocument/2006/relationships" r:id="rId3"/>
        </xdr:cNvPr>
        <xdr:cNvSpPr/>
      </xdr:nvSpPr>
      <xdr:spPr>
        <a:xfrm>
          <a:off x="7515860" y="5581650"/>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2</a:t>
          </a:r>
          <a:endParaRPr lang="id-ID" sz="1100" b="1">
            <a:latin typeface="Elephant" pitchFamily="18" charset="0"/>
          </a:endParaRPr>
        </a:p>
      </xdr:txBody>
    </xdr:sp>
    <xdr:clientData/>
  </xdr:twoCellAnchor>
  <xdr:twoCellAnchor>
    <xdr:from>
      <xdr:col>12</xdr:col>
      <xdr:colOff>333375</xdr:colOff>
      <xdr:row>27</xdr:row>
      <xdr:rowOff>152400</xdr:rowOff>
    </xdr:from>
    <xdr:to>
      <xdr:col>13</xdr:col>
      <xdr:colOff>333375</xdr:colOff>
      <xdr:row>29</xdr:row>
      <xdr:rowOff>47625</xdr:rowOff>
    </xdr:to>
    <xdr:sp>
      <xdr:nvSpPr>
        <xdr:cNvPr id="5" name="Flowchart: Terminator 4">
          <a:hlinkClick xmlns:r="http://schemas.openxmlformats.org/officeDocument/2006/relationships" r:id="rId4"/>
        </xdr:cNvPr>
        <xdr:cNvSpPr/>
      </xdr:nvSpPr>
      <xdr:spPr>
        <a:xfrm>
          <a:off x="7515860" y="5895975"/>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3</a:t>
          </a:r>
          <a:endParaRPr lang="id-ID" sz="1100" b="1">
            <a:latin typeface="Elephant" pitchFamily="18" charset="0"/>
          </a:endParaRPr>
        </a:p>
      </xdr:txBody>
    </xdr:sp>
    <xdr:clientData/>
  </xdr:twoCellAnchor>
  <xdr:twoCellAnchor>
    <xdr:from>
      <xdr:col>12</xdr:col>
      <xdr:colOff>333375</xdr:colOff>
      <xdr:row>29</xdr:row>
      <xdr:rowOff>66675</xdr:rowOff>
    </xdr:from>
    <xdr:to>
      <xdr:col>13</xdr:col>
      <xdr:colOff>333375</xdr:colOff>
      <xdr:row>30</xdr:row>
      <xdr:rowOff>161925</xdr:rowOff>
    </xdr:to>
    <xdr:sp>
      <xdr:nvSpPr>
        <xdr:cNvPr id="6" name="Flowchart: Terminator 5">
          <a:hlinkClick xmlns:r="http://schemas.openxmlformats.org/officeDocument/2006/relationships" r:id="rId5"/>
        </xdr:cNvPr>
        <xdr:cNvSpPr/>
      </xdr:nvSpPr>
      <xdr:spPr>
        <a:xfrm>
          <a:off x="7515860" y="6210300"/>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4</a:t>
          </a:r>
          <a:endParaRPr lang="id-ID" sz="1100" b="1">
            <a:latin typeface="Elephant" pitchFamily="18" charset="0"/>
          </a:endParaRPr>
        </a:p>
      </xdr:txBody>
    </xdr:sp>
    <xdr:clientData/>
  </xdr:twoCellAnchor>
  <xdr:twoCellAnchor>
    <xdr:from>
      <xdr:col>12</xdr:col>
      <xdr:colOff>333375</xdr:colOff>
      <xdr:row>30</xdr:row>
      <xdr:rowOff>180975</xdr:rowOff>
    </xdr:from>
    <xdr:to>
      <xdr:col>13</xdr:col>
      <xdr:colOff>333375</xdr:colOff>
      <xdr:row>32</xdr:row>
      <xdr:rowOff>76200</xdr:rowOff>
    </xdr:to>
    <xdr:sp>
      <xdr:nvSpPr>
        <xdr:cNvPr id="7" name="Flowchart: Terminator 6">
          <a:hlinkClick xmlns:r="http://schemas.openxmlformats.org/officeDocument/2006/relationships" r:id="rId6"/>
        </xdr:cNvPr>
        <xdr:cNvSpPr/>
      </xdr:nvSpPr>
      <xdr:spPr>
        <a:xfrm>
          <a:off x="7515860" y="6524625"/>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5</a:t>
          </a:r>
          <a:endParaRPr lang="id-ID" sz="1100" b="1">
            <a:latin typeface="Elephant" pitchFamily="18" charset="0"/>
          </a:endParaRPr>
        </a:p>
      </xdr:txBody>
    </xdr:sp>
    <xdr:clientData/>
  </xdr:twoCellAnchor>
  <xdr:twoCellAnchor>
    <xdr:from>
      <xdr:col>12</xdr:col>
      <xdr:colOff>333375</xdr:colOff>
      <xdr:row>32</xdr:row>
      <xdr:rowOff>95250</xdr:rowOff>
    </xdr:from>
    <xdr:to>
      <xdr:col>13</xdr:col>
      <xdr:colOff>333375</xdr:colOff>
      <xdr:row>33</xdr:row>
      <xdr:rowOff>190500</xdr:rowOff>
    </xdr:to>
    <xdr:sp>
      <xdr:nvSpPr>
        <xdr:cNvPr id="8" name="Flowchart: Terminator 7">
          <a:hlinkClick xmlns:r="http://schemas.openxmlformats.org/officeDocument/2006/relationships" r:id="rId7"/>
        </xdr:cNvPr>
        <xdr:cNvSpPr/>
      </xdr:nvSpPr>
      <xdr:spPr>
        <a:xfrm>
          <a:off x="7515860" y="6838950"/>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6</a:t>
          </a:r>
          <a:endParaRPr lang="id-ID" sz="1100" b="1">
            <a:latin typeface="Elephant" pitchFamily="18" charset="0"/>
          </a:endParaRPr>
        </a:p>
      </xdr:txBody>
    </xdr:sp>
    <xdr:clientData/>
  </xdr:twoCellAnchor>
  <xdr:twoCellAnchor>
    <xdr:from>
      <xdr:col>12</xdr:col>
      <xdr:colOff>333375</xdr:colOff>
      <xdr:row>34</xdr:row>
      <xdr:rowOff>9525</xdr:rowOff>
    </xdr:from>
    <xdr:to>
      <xdr:col>13</xdr:col>
      <xdr:colOff>333375</xdr:colOff>
      <xdr:row>35</xdr:row>
      <xdr:rowOff>104775</xdr:rowOff>
    </xdr:to>
    <xdr:sp>
      <xdr:nvSpPr>
        <xdr:cNvPr id="9" name="Flowchart: Terminator 8">
          <a:hlinkClick xmlns:r="http://schemas.openxmlformats.org/officeDocument/2006/relationships" r:id="rId8"/>
        </xdr:cNvPr>
        <xdr:cNvSpPr/>
      </xdr:nvSpPr>
      <xdr:spPr>
        <a:xfrm>
          <a:off x="7515860" y="7153275"/>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7</a:t>
          </a:r>
          <a:endParaRPr lang="id-ID" sz="1100" b="1">
            <a:latin typeface="Elephant" pitchFamily="18" charset="0"/>
          </a:endParaRPr>
        </a:p>
      </xdr:txBody>
    </xdr:sp>
    <xdr:clientData/>
  </xdr:twoCellAnchor>
  <xdr:twoCellAnchor>
    <xdr:from>
      <xdr:col>13</xdr:col>
      <xdr:colOff>323850</xdr:colOff>
      <xdr:row>24</xdr:row>
      <xdr:rowOff>123825</xdr:rowOff>
    </xdr:from>
    <xdr:to>
      <xdr:col>14</xdr:col>
      <xdr:colOff>323850</xdr:colOff>
      <xdr:row>26</xdr:row>
      <xdr:rowOff>19050</xdr:rowOff>
    </xdr:to>
    <xdr:sp>
      <xdr:nvSpPr>
        <xdr:cNvPr id="11" name="Flowchart: Terminator 10">
          <a:hlinkClick xmlns:r="http://schemas.openxmlformats.org/officeDocument/2006/relationships" r:id="rId9"/>
        </xdr:cNvPr>
        <xdr:cNvSpPr/>
      </xdr:nvSpPr>
      <xdr:spPr>
        <a:xfrm>
          <a:off x="8202930" y="5267325"/>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8</a:t>
          </a:r>
          <a:endParaRPr lang="id-ID" sz="1100" b="1">
            <a:latin typeface="Elephant" pitchFamily="18" charset="0"/>
          </a:endParaRPr>
        </a:p>
      </xdr:txBody>
    </xdr:sp>
    <xdr:clientData/>
  </xdr:twoCellAnchor>
  <xdr:twoCellAnchor>
    <xdr:from>
      <xdr:col>13</xdr:col>
      <xdr:colOff>323850</xdr:colOff>
      <xdr:row>26</xdr:row>
      <xdr:rowOff>38100</xdr:rowOff>
    </xdr:from>
    <xdr:to>
      <xdr:col>14</xdr:col>
      <xdr:colOff>323850</xdr:colOff>
      <xdr:row>27</xdr:row>
      <xdr:rowOff>133350</xdr:rowOff>
    </xdr:to>
    <xdr:sp>
      <xdr:nvSpPr>
        <xdr:cNvPr id="12" name="Flowchart: Terminator 11">
          <a:hlinkClick xmlns:r="http://schemas.openxmlformats.org/officeDocument/2006/relationships" r:id="rId10"/>
        </xdr:cNvPr>
        <xdr:cNvSpPr/>
      </xdr:nvSpPr>
      <xdr:spPr>
        <a:xfrm>
          <a:off x="8202930" y="5581650"/>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9</a:t>
          </a:r>
          <a:endParaRPr lang="id-ID" sz="1100" b="1">
            <a:latin typeface="Elephant" pitchFamily="18" charset="0"/>
          </a:endParaRPr>
        </a:p>
      </xdr:txBody>
    </xdr:sp>
    <xdr:clientData/>
  </xdr:twoCellAnchor>
  <xdr:twoCellAnchor>
    <xdr:from>
      <xdr:col>13</xdr:col>
      <xdr:colOff>323850</xdr:colOff>
      <xdr:row>27</xdr:row>
      <xdr:rowOff>152400</xdr:rowOff>
    </xdr:from>
    <xdr:to>
      <xdr:col>14</xdr:col>
      <xdr:colOff>323850</xdr:colOff>
      <xdr:row>29</xdr:row>
      <xdr:rowOff>47625</xdr:rowOff>
    </xdr:to>
    <xdr:sp>
      <xdr:nvSpPr>
        <xdr:cNvPr id="13" name="Flowchart: Terminator 12">
          <a:hlinkClick xmlns:r="http://schemas.openxmlformats.org/officeDocument/2006/relationships" r:id="rId11"/>
        </xdr:cNvPr>
        <xdr:cNvSpPr/>
      </xdr:nvSpPr>
      <xdr:spPr>
        <a:xfrm>
          <a:off x="8202930" y="5895975"/>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10</a:t>
          </a:r>
          <a:endParaRPr lang="id-ID" sz="1100" b="1">
            <a:latin typeface="Elephant" pitchFamily="18" charset="0"/>
          </a:endParaRPr>
        </a:p>
      </xdr:txBody>
    </xdr:sp>
    <xdr:clientData/>
  </xdr:twoCellAnchor>
  <xdr:twoCellAnchor>
    <xdr:from>
      <xdr:col>13</xdr:col>
      <xdr:colOff>323850</xdr:colOff>
      <xdr:row>29</xdr:row>
      <xdr:rowOff>66675</xdr:rowOff>
    </xdr:from>
    <xdr:to>
      <xdr:col>14</xdr:col>
      <xdr:colOff>323850</xdr:colOff>
      <xdr:row>30</xdr:row>
      <xdr:rowOff>161925</xdr:rowOff>
    </xdr:to>
    <xdr:sp>
      <xdr:nvSpPr>
        <xdr:cNvPr id="14" name="Flowchart: Terminator 13">
          <a:hlinkClick xmlns:r="http://schemas.openxmlformats.org/officeDocument/2006/relationships" r:id="rId12"/>
        </xdr:cNvPr>
        <xdr:cNvSpPr/>
      </xdr:nvSpPr>
      <xdr:spPr>
        <a:xfrm>
          <a:off x="8202930" y="6210300"/>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11</a:t>
          </a:r>
          <a:endParaRPr lang="id-ID" sz="1100" b="1">
            <a:latin typeface="Elephant" pitchFamily="18" charset="0"/>
          </a:endParaRPr>
        </a:p>
      </xdr:txBody>
    </xdr:sp>
    <xdr:clientData/>
  </xdr:twoCellAnchor>
  <xdr:twoCellAnchor>
    <xdr:from>
      <xdr:col>13</xdr:col>
      <xdr:colOff>323850</xdr:colOff>
      <xdr:row>30</xdr:row>
      <xdr:rowOff>180975</xdr:rowOff>
    </xdr:from>
    <xdr:to>
      <xdr:col>14</xdr:col>
      <xdr:colOff>323850</xdr:colOff>
      <xdr:row>32</xdr:row>
      <xdr:rowOff>76200</xdr:rowOff>
    </xdr:to>
    <xdr:sp>
      <xdr:nvSpPr>
        <xdr:cNvPr id="15" name="Flowchart: Terminator 14">
          <a:hlinkClick xmlns:r="http://schemas.openxmlformats.org/officeDocument/2006/relationships" r:id="rId13"/>
        </xdr:cNvPr>
        <xdr:cNvSpPr/>
      </xdr:nvSpPr>
      <xdr:spPr>
        <a:xfrm>
          <a:off x="8202930" y="6524625"/>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12</a:t>
          </a:r>
          <a:endParaRPr lang="id-ID" sz="1100" b="1">
            <a:latin typeface="Elephant" pitchFamily="18" charset="0"/>
          </a:endParaRPr>
        </a:p>
      </xdr:txBody>
    </xdr:sp>
    <xdr:clientData/>
  </xdr:twoCellAnchor>
  <xdr:twoCellAnchor>
    <xdr:from>
      <xdr:col>13</xdr:col>
      <xdr:colOff>323850</xdr:colOff>
      <xdr:row>32</xdr:row>
      <xdr:rowOff>95250</xdr:rowOff>
    </xdr:from>
    <xdr:to>
      <xdr:col>14</xdr:col>
      <xdr:colOff>323850</xdr:colOff>
      <xdr:row>33</xdr:row>
      <xdr:rowOff>190500</xdr:rowOff>
    </xdr:to>
    <xdr:sp>
      <xdr:nvSpPr>
        <xdr:cNvPr id="16" name="Flowchart: Terminator 15">
          <a:hlinkClick xmlns:r="http://schemas.openxmlformats.org/officeDocument/2006/relationships" r:id="rId14"/>
        </xdr:cNvPr>
        <xdr:cNvSpPr/>
      </xdr:nvSpPr>
      <xdr:spPr>
        <a:xfrm>
          <a:off x="8202930" y="6838950"/>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13</a:t>
          </a:r>
          <a:endParaRPr lang="id-ID" sz="1100" b="1">
            <a:latin typeface="Elephant" pitchFamily="18" charset="0"/>
          </a:endParaRPr>
        </a:p>
      </xdr:txBody>
    </xdr:sp>
    <xdr:clientData/>
  </xdr:twoCellAnchor>
  <xdr:twoCellAnchor>
    <xdr:from>
      <xdr:col>13</xdr:col>
      <xdr:colOff>323850</xdr:colOff>
      <xdr:row>34</xdr:row>
      <xdr:rowOff>9525</xdr:rowOff>
    </xdr:from>
    <xdr:to>
      <xdr:col>14</xdr:col>
      <xdr:colOff>323850</xdr:colOff>
      <xdr:row>35</xdr:row>
      <xdr:rowOff>104775</xdr:rowOff>
    </xdr:to>
    <xdr:sp>
      <xdr:nvSpPr>
        <xdr:cNvPr id="17" name="Flowchart: Terminator 16">
          <a:hlinkClick xmlns:r="http://schemas.openxmlformats.org/officeDocument/2006/relationships" r:id="rId15"/>
        </xdr:cNvPr>
        <xdr:cNvSpPr/>
      </xdr:nvSpPr>
      <xdr:spPr>
        <a:xfrm>
          <a:off x="8202930" y="7153275"/>
          <a:ext cx="696595" cy="295275"/>
        </a:xfrm>
        <a:prstGeom prst="flowChartTerminator">
          <a:avLst/>
        </a:prstGeom>
        <a:solidFill>
          <a:schemeClr val="accent5">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1100" b="1">
              <a:latin typeface="Elephant" pitchFamily="18" charset="0"/>
            </a:rPr>
            <a:t>14</a:t>
          </a:r>
          <a:endParaRPr lang="id-ID" sz="1100" b="1">
            <a:latin typeface="Elephant" pitchFamily="18" charset="0"/>
          </a:endParaRPr>
        </a:p>
      </xdr:txBody>
    </xdr:sp>
    <xdr:clientData/>
  </xdr:twoCellAnchor>
  <xdr:twoCellAnchor>
    <xdr:from>
      <xdr:col>12</xdr:col>
      <xdr:colOff>247650</xdr:colOff>
      <xdr:row>20</xdr:row>
      <xdr:rowOff>0</xdr:rowOff>
    </xdr:from>
    <xdr:to>
      <xdr:col>14</xdr:col>
      <xdr:colOff>438150</xdr:colOff>
      <xdr:row>24</xdr:row>
      <xdr:rowOff>9525</xdr:rowOff>
    </xdr:to>
    <xdr:sp>
      <xdr:nvSpPr>
        <xdr:cNvPr id="20" name="Down Arrow Callout 19"/>
        <xdr:cNvSpPr/>
      </xdr:nvSpPr>
      <xdr:spPr>
        <a:xfrm>
          <a:off x="7430135" y="4352925"/>
          <a:ext cx="1583690" cy="800100"/>
        </a:xfrm>
        <a:prstGeom prst="downArrowCallout">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t>PILIH KOMPETENSI </a:t>
          </a:r>
          <a:endParaRPr lang="id-ID" sz="1100" b="1"/>
        </a:p>
        <a:p>
          <a:pPr algn="ctr"/>
          <a:r>
            <a:rPr lang="id-ID" sz="1100" b="1"/>
            <a:t>DI SINI</a:t>
          </a:r>
          <a:endParaRPr lang="id-ID" sz="1100" b="1"/>
        </a:p>
      </xdr:txBody>
    </xdr:sp>
    <xdr:clientData/>
  </xdr:twoCellAnchor>
  <mc:AlternateContent xmlns:mc="http://schemas.openxmlformats.org/markup-compatibility/2006">
    <mc:Choice xmlns:a14="http://schemas.microsoft.com/office/drawing/2010/main" Requires="a14">
      <xdr:twoCellAnchor>
        <xdr:from>
          <xdr:col>12</xdr:col>
          <xdr:colOff>190500</xdr:colOff>
          <xdr:row>4</xdr:row>
          <xdr:rowOff>38100</xdr:rowOff>
        </xdr:from>
        <xdr:to>
          <xdr:col>13</xdr:col>
          <xdr:colOff>457200</xdr:colOff>
          <xdr:row>5</xdr:row>
          <xdr:rowOff>219075</xdr:rowOff>
        </xdr:to>
        <xdr:sp macro="[0]!Button2_Click">
          <xdr:nvSpPr>
            <xdr:cNvPr id="2050" name="Button 2" hidden="1">
              <a:extLst>
                <a:ext uri="{63B3BB69-23CF-44E3-9099-C40C66FF867C}">
                  <a14:compatExt spid="_x0000_s2050"/>
                </a:ext>
              </a:extLst>
            </xdr:cNvPr>
            <xdr:cNvSpPr/>
          </xdr:nvSpPr>
          <xdr:spPr>
            <a:xfrm>
              <a:off x="7372985" y="781050"/>
              <a:ext cx="963295" cy="409575"/>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Calligrapher"/>
                </a:rPr>
                <a:t>PRINT</a:t>
              </a:r>
              <a:endParaRPr lang="en-US" sz="1200" b="1" i="0" u="none" strike="noStrike" baseline="0">
                <a:solidFill>
                  <a:srgbClr val="000000"/>
                </a:solidFill>
                <a:latin typeface="Calligrapher"/>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12</xdr:col>
      <xdr:colOff>289863</xdr:colOff>
      <xdr:row>1</xdr:row>
      <xdr:rowOff>0</xdr:rowOff>
    </xdr:from>
    <xdr:to>
      <xdr:col>14</xdr:col>
      <xdr:colOff>304771</xdr:colOff>
      <xdr:row>3</xdr:row>
      <xdr:rowOff>9525</xdr:rowOff>
    </xdr:to>
    <xdr:sp>
      <xdr:nvSpPr>
        <xdr:cNvPr id="2" name="Round Same Side Corner Rectangle 1">
          <a:hlinkClick xmlns:r="http://schemas.openxmlformats.org/officeDocument/2006/relationships" r:id="rId1"/>
        </xdr:cNvPr>
        <xdr:cNvSpPr/>
      </xdr:nvSpPr>
      <xdr:spPr>
        <a:xfrm>
          <a:off x="7324090" y="180975"/>
          <a:ext cx="1066165" cy="371475"/>
        </a:xfrm>
        <a:prstGeom prst="round2SameRect">
          <a:avLst/>
        </a:prstGeom>
        <a:solidFill>
          <a:schemeClr val="tx2">
            <a:lumMod val="40000"/>
            <a:lumOff val="60000"/>
          </a:schemeClr>
        </a:solidFill>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1600" b="1">
              <a:solidFill>
                <a:srgbClr val="FF0000"/>
              </a:solidFill>
            </a:rPr>
            <a:t>MENU</a:t>
          </a:r>
          <a:endParaRPr lang="id-ID" sz="1600" b="1">
            <a:solidFill>
              <a:srgbClr val="FF0000"/>
            </a:solidFill>
          </a:endParaRPr>
        </a:p>
      </xdr:txBody>
    </xdr:sp>
    <xdr:clientData/>
  </xdr:twoCellAnchor>
  <xdr:twoCellAnchor>
    <xdr:from>
      <xdr:col>13</xdr:col>
      <xdr:colOff>228599</xdr:colOff>
      <xdr:row>24</xdr:row>
      <xdr:rowOff>9525</xdr:rowOff>
    </xdr:from>
    <xdr:to>
      <xdr:col>13</xdr:col>
      <xdr:colOff>447674</xdr:colOff>
      <xdr:row>25</xdr:row>
      <xdr:rowOff>47625</xdr:rowOff>
    </xdr:to>
    <xdr:sp>
      <xdr:nvSpPr>
        <xdr:cNvPr id="3" name="Up Arrow 2"/>
        <xdr:cNvSpPr/>
      </xdr:nvSpPr>
      <xdr:spPr>
        <a:xfrm>
          <a:off x="7552055" y="5038725"/>
          <a:ext cx="219075" cy="314325"/>
        </a:xfrm>
        <a:prstGeom prst="upArrow">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id-ID" sz="1100"/>
        </a:p>
      </xdr:txBody>
    </xdr:sp>
    <xdr:clientData/>
  </xdr:twoCellAnchor>
  <xdr:twoCellAnchor>
    <xdr:from>
      <xdr:col>17</xdr:col>
      <xdr:colOff>23813</xdr:colOff>
      <xdr:row>31</xdr:row>
      <xdr:rowOff>47624</xdr:rowOff>
    </xdr:from>
    <xdr:to>
      <xdr:col>21</xdr:col>
      <xdr:colOff>2</xdr:colOff>
      <xdr:row>32</xdr:row>
      <xdr:rowOff>138111</xdr:rowOff>
    </xdr:to>
    <xdr:sp>
      <xdr:nvSpPr>
        <xdr:cNvPr id="4" name="Left Brace 3"/>
        <xdr:cNvSpPr/>
      </xdr:nvSpPr>
      <xdr:spPr>
        <a:xfrm rot="16200000">
          <a:off x="11237595" y="5473065"/>
          <a:ext cx="271780" cy="269748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id-ID" sz="1100"/>
        </a:p>
      </xdr:txBody>
    </xdr:sp>
    <xdr:clientData/>
  </xdr:twoCellAnchor>
  <xdr:twoCellAnchor editAs="oneCell">
    <xdr:from>
      <xdr:col>13</xdr:col>
      <xdr:colOff>19050</xdr:colOff>
      <xdr:row>3</xdr:row>
      <xdr:rowOff>142875</xdr:rowOff>
    </xdr:from>
    <xdr:to>
      <xdr:col>14</xdr:col>
      <xdr:colOff>285750</xdr:colOff>
      <xdr:row>5</xdr:row>
      <xdr:rowOff>190500</xdr:rowOff>
    </xdr:to>
    <xdr:pic>
      <xdr:nvPicPr>
        <xdr:cNvPr id="3075" name="CommandButton1"/>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7343140" y="685800"/>
          <a:ext cx="1028700" cy="431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13</xdr:col>
      <xdr:colOff>339154</xdr:colOff>
      <xdr:row>0</xdr:row>
      <xdr:rowOff>107662</xdr:rowOff>
    </xdr:from>
    <xdr:to>
      <xdr:col>15</xdr:col>
      <xdr:colOff>358618</xdr:colOff>
      <xdr:row>1</xdr:row>
      <xdr:rowOff>89476</xdr:rowOff>
    </xdr:to>
    <xdr:sp>
      <xdr:nvSpPr>
        <xdr:cNvPr id="3" name="Round Same Side Corner Rectangle 2">
          <a:hlinkClick xmlns:r="http://schemas.openxmlformats.org/officeDocument/2006/relationships" r:id="rId1"/>
        </xdr:cNvPr>
        <xdr:cNvSpPr/>
      </xdr:nvSpPr>
      <xdr:spPr>
        <a:xfrm>
          <a:off x="6857365" y="107315"/>
          <a:ext cx="1107440" cy="400685"/>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144929</xdr:colOff>
      <xdr:row>4</xdr:row>
      <xdr:rowOff>539201</xdr:rowOff>
    </xdr:from>
    <xdr:to>
      <xdr:col>16</xdr:col>
      <xdr:colOff>81567</xdr:colOff>
      <xdr:row>5</xdr:row>
      <xdr:rowOff>704029</xdr:rowOff>
    </xdr:to>
    <xdr:sp>
      <xdr:nvSpPr>
        <xdr:cNvPr id="4" name="TextBox 3"/>
        <xdr:cNvSpPr txBox="1"/>
      </xdr:nvSpPr>
      <xdr:spPr>
        <a:xfrm>
          <a:off x="6663055" y="1739265"/>
          <a:ext cx="1721485" cy="78359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314727</xdr:colOff>
      <xdr:row>2</xdr:row>
      <xdr:rowOff>33129</xdr:rowOff>
    </xdr:from>
    <xdr:to>
      <xdr:col>15</xdr:col>
      <xdr:colOff>198788</xdr:colOff>
      <xdr:row>4</xdr:row>
      <xdr:rowOff>16564</xdr:rowOff>
    </xdr:to>
    <xdr:sp>
      <xdr:nvSpPr>
        <xdr:cNvPr id="5" name="Striped Right Arrow 4">
          <a:hlinkClick xmlns:r="http://schemas.openxmlformats.org/officeDocument/2006/relationships" r:id="rId2"/>
        </xdr:cNvPr>
        <xdr:cNvSpPr/>
      </xdr:nvSpPr>
      <xdr:spPr>
        <a:xfrm flipH="1">
          <a:off x="6832600" y="633095"/>
          <a:ext cx="972820" cy="583565"/>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editAs="oneCell">
    <xdr:from>
      <xdr:col>14</xdr:col>
      <xdr:colOff>133350</xdr:colOff>
      <xdr:row>4</xdr:row>
      <xdr:rowOff>133350</xdr:rowOff>
    </xdr:from>
    <xdr:to>
      <xdr:col>15</xdr:col>
      <xdr:colOff>200025</xdr:colOff>
      <xdr:row>4</xdr:row>
      <xdr:rowOff>495300</xdr:rowOff>
    </xdr:to>
    <xdr:pic>
      <xdr:nvPicPr>
        <xdr:cNvPr id="4101" name="CommandButton1"/>
        <xdr:cNvPicPr>
          <a:picLocks noChangeAspect="1" noChangeArrowheads="1"/>
        </xdr:cNvPicPr>
      </xdr:nvPicPr>
      <xdr:blipFill>
        <a:blip r:embed="rId3">
          <a:extLst>
            <a:ext uri="{28A0092B-C50C-407E-A947-70E740481C1C}">
              <a14:useLocalDpi xmlns:a14="http://schemas.microsoft.com/office/drawing/2010/main" val="0"/>
            </a:ext>
          </a:extLst>
        </a:blip>
        <a:srcRect/>
        <a:stretch>
          <a:fillRect/>
        </a:stretch>
      </xdr:blipFill>
      <xdr:spPr>
        <a:xfrm>
          <a:off x="7043420" y="1333500"/>
          <a:ext cx="76327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13</xdr:col>
      <xdr:colOff>499861</xdr:colOff>
      <xdr:row>0</xdr:row>
      <xdr:rowOff>372726</xdr:rowOff>
    </xdr:from>
    <xdr:to>
      <xdr:col>15</xdr:col>
      <xdr:colOff>245999</xdr:colOff>
      <xdr:row>2</xdr:row>
      <xdr:rowOff>166489</xdr:rowOff>
    </xdr:to>
    <xdr:sp>
      <xdr:nvSpPr>
        <xdr:cNvPr id="3" name="Round Same Side Corner Rectangle 2">
          <a:hlinkClick xmlns:r="http://schemas.openxmlformats.org/officeDocument/2006/relationships" r:id="rId1"/>
        </xdr:cNvPr>
        <xdr:cNvSpPr/>
      </xdr:nvSpPr>
      <xdr:spPr>
        <a:xfrm>
          <a:off x="7007225" y="372110"/>
          <a:ext cx="1139190" cy="394335"/>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1800" b="1">
            <a:latin typeface="Agency FB" pitchFamily="34" charset="0"/>
          </a:endParaRPr>
        </a:p>
      </xdr:txBody>
    </xdr:sp>
    <xdr:clientData/>
  </xdr:twoCellAnchor>
  <xdr:twoCellAnchor>
    <xdr:from>
      <xdr:col>13</xdr:col>
      <xdr:colOff>255933</xdr:colOff>
      <xdr:row>3</xdr:row>
      <xdr:rowOff>939208</xdr:rowOff>
    </xdr:from>
    <xdr:to>
      <xdr:col>15</xdr:col>
      <xdr:colOff>532158</xdr:colOff>
      <xdr:row>5</xdr:row>
      <xdr:rowOff>360668</xdr:rowOff>
    </xdr:to>
    <xdr:sp>
      <xdr:nvSpPr>
        <xdr:cNvPr id="4" name="TextBox 3"/>
        <xdr:cNvSpPr txBox="1"/>
      </xdr:nvSpPr>
      <xdr:spPr>
        <a:xfrm>
          <a:off x="6763385" y="1720215"/>
          <a:ext cx="1669415" cy="77343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140804</xdr:colOff>
      <xdr:row>2</xdr:row>
      <xdr:rowOff>157334</xdr:rowOff>
    </xdr:from>
    <xdr:to>
      <xdr:col>14</xdr:col>
      <xdr:colOff>364452</xdr:colOff>
      <xdr:row>3</xdr:row>
      <xdr:rowOff>563182</xdr:rowOff>
    </xdr:to>
    <xdr:sp>
      <xdr:nvSpPr>
        <xdr:cNvPr id="5" name="Striped Right Arrow 4">
          <a:hlinkClick xmlns:r="http://schemas.openxmlformats.org/officeDocument/2006/relationships" r:id="rId2"/>
        </xdr:cNvPr>
        <xdr:cNvSpPr/>
      </xdr:nvSpPr>
      <xdr:spPr>
        <a:xfrm flipH="1">
          <a:off x="6647815" y="756920"/>
          <a:ext cx="92011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392629</xdr:colOff>
      <xdr:row>2</xdr:row>
      <xdr:rowOff>160640</xdr:rowOff>
    </xdr:from>
    <xdr:to>
      <xdr:col>16</xdr:col>
      <xdr:colOff>3363</xdr:colOff>
      <xdr:row>3</xdr:row>
      <xdr:rowOff>566488</xdr:rowOff>
    </xdr:to>
    <xdr:sp>
      <xdr:nvSpPr>
        <xdr:cNvPr id="6" name="Striped Right Arrow 5">
          <a:hlinkClick xmlns:r="http://schemas.openxmlformats.org/officeDocument/2006/relationships" r:id="rId3"/>
        </xdr:cNvPr>
        <xdr:cNvSpPr/>
      </xdr:nvSpPr>
      <xdr:spPr>
        <a:xfrm>
          <a:off x="7596505" y="760095"/>
          <a:ext cx="1003935" cy="587375"/>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9525</xdr:colOff>
      <xdr:row>3</xdr:row>
      <xdr:rowOff>523875</xdr:rowOff>
    </xdr:from>
    <xdr:to>
      <xdr:col>15</xdr:col>
      <xdr:colOff>66675</xdr:colOff>
      <xdr:row>3</xdr:row>
      <xdr:rowOff>885825</xdr:rowOff>
    </xdr:to>
    <xdr:pic>
      <xdr:nvPicPr>
        <xdr:cNvPr id="5124"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213600" y="1304925"/>
          <a:ext cx="75374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13</xdr:col>
      <xdr:colOff>468797</xdr:colOff>
      <xdr:row>0</xdr:row>
      <xdr:rowOff>144537</xdr:rowOff>
    </xdr:from>
    <xdr:to>
      <xdr:col>15</xdr:col>
      <xdr:colOff>214935</xdr:colOff>
      <xdr:row>1</xdr:row>
      <xdr:rowOff>161102</xdr:rowOff>
    </xdr:to>
    <xdr:sp>
      <xdr:nvSpPr>
        <xdr:cNvPr id="3" name="Round Same Side Corner Rectangle 2">
          <a:hlinkClick xmlns:r="http://schemas.openxmlformats.org/officeDocument/2006/relationships" r:id="rId1"/>
        </xdr:cNvPr>
        <xdr:cNvSpPr/>
      </xdr:nvSpPr>
      <xdr:spPr>
        <a:xfrm>
          <a:off x="6997700" y="144145"/>
          <a:ext cx="1139190" cy="416560"/>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249721</xdr:colOff>
      <xdr:row>4</xdr:row>
      <xdr:rowOff>64185</xdr:rowOff>
    </xdr:from>
    <xdr:to>
      <xdr:col>15</xdr:col>
      <xdr:colOff>525946</xdr:colOff>
      <xdr:row>5</xdr:row>
      <xdr:rowOff>247645</xdr:rowOff>
    </xdr:to>
    <xdr:sp>
      <xdr:nvSpPr>
        <xdr:cNvPr id="4" name="TextBox 3"/>
        <xdr:cNvSpPr txBox="1"/>
      </xdr:nvSpPr>
      <xdr:spPr>
        <a:xfrm>
          <a:off x="6778625" y="1588135"/>
          <a:ext cx="1669415" cy="77343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115956</xdr:colOff>
      <xdr:row>2</xdr:row>
      <xdr:rowOff>0</xdr:rowOff>
    </xdr:from>
    <xdr:to>
      <xdr:col>14</xdr:col>
      <xdr:colOff>339604</xdr:colOff>
      <xdr:row>3</xdr:row>
      <xdr:rowOff>364436</xdr:rowOff>
    </xdr:to>
    <xdr:sp>
      <xdr:nvSpPr>
        <xdr:cNvPr id="7" name="Striped Right Arrow 6">
          <a:hlinkClick xmlns:r="http://schemas.openxmlformats.org/officeDocument/2006/relationships" r:id="rId2"/>
        </xdr:cNvPr>
        <xdr:cNvSpPr/>
      </xdr:nvSpPr>
      <xdr:spPr>
        <a:xfrm flipH="1">
          <a:off x="6644640" y="581025"/>
          <a:ext cx="920115" cy="54483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367781</xdr:colOff>
      <xdr:row>2</xdr:row>
      <xdr:rowOff>0</xdr:rowOff>
    </xdr:from>
    <xdr:to>
      <xdr:col>15</xdr:col>
      <xdr:colOff>591429</xdr:colOff>
      <xdr:row>3</xdr:row>
      <xdr:rowOff>367742</xdr:rowOff>
    </xdr:to>
    <xdr:sp>
      <xdr:nvSpPr>
        <xdr:cNvPr id="8" name="Striped Right Arrow 7">
          <a:hlinkClick xmlns:r="http://schemas.openxmlformats.org/officeDocument/2006/relationships" r:id="rId3"/>
        </xdr:cNvPr>
        <xdr:cNvSpPr/>
      </xdr:nvSpPr>
      <xdr:spPr>
        <a:xfrm>
          <a:off x="7593330" y="581025"/>
          <a:ext cx="920115" cy="5486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19050</xdr:colOff>
      <xdr:row>3</xdr:row>
      <xdr:rowOff>381000</xdr:rowOff>
    </xdr:from>
    <xdr:to>
      <xdr:col>15</xdr:col>
      <xdr:colOff>85725</xdr:colOff>
      <xdr:row>3</xdr:row>
      <xdr:rowOff>742950</xdr:rowOff>
    </xdr:to>
    <xdr:pic>
      <xdr:nvPicPr>
        <xdr:cNvPr id="6145"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244715" y="1143000"/>
          <a:ext cx="76327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13</xdr:col>
      <xdr:colOff>465482</xdr:colOff>
      <xdr:row>0</xdr:row>
      <xdr:rowOff>389291</xdr:rowOff>
    </xdr:from>
    <xdr:to>
      <xdr:col>15</xdr:col>
      <xdr:colOff>211620</xdr:colOff>
      <xdr:row>2</xdr:row>
      <xdr:rowOff>133358</xdr:rowOff>
    </xdr:to>
    <xdr:sp>
      <xdr:nvSpPr>
        <xdr:cNvPr id="3" name="Round Same Side Corner Rectangle 2">
          <a:hlinkClick xmlns:r="http://schemas.openxmlformats.org/officeDocument/2006/relationships" r:id="rId1"/>
        </xdr:cNvPr>
        <xdr:cNvSpPr/>
      </xdr:nvSpPr>
      <xdr:spPr>
        <a:xfrm>
          <a:off x="7016115" y="389255"/>
          <a:ext cx="1139190" cy="344170"/>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279538</xdr:colOff>
      <xdr:row>4</xdr:row>
      <xdr:rowOff>326328</xdr:rowOff>
    </xdr:from>
    <xdr:to>
      <xdr:col>15</xdr:col>
      <xdr:colOff>555763</xdr:colOff>
      <xdr:row>5</xdr:row>
      <xdr:rowOff>513521</xdr:rowOff>
    </xdr:to>
    <xdr:sp>
      <xdr:nvSpPr>
        <xdr:cNvPr id="4" name="TextBox 3"/>
        <xdr:cNvSpPr txBox="1"/>
      </xdr:nvSpPr>
      <xdr:spPr>
        <a:xfrm>
          <a:off x="6830060" y="1668780"/>
          <a:ext cx="1669415" cy="7588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99391</xdr:colOff>
      <xdr:row>2</xdr:row>
      <xdr:rowOff>107674</xdr:rowOff>
    </xdr:from>
    <xdr:to>
      <xdr:col>14</xdr:col>
      <xdr:colOff>323039</xdr:colOff>
      <xdr:row>3</xdr:row>
      <xdr:rowOff>513522</xdr:rowOff>
    </xdr:to>
    <xdr:sp>
      <xdr:nvSpPr>
        <xdr:cNvPr id="5" name="Striped Right Arrow 4">
          <a:hlinkClick xmlns:r="http://schemas.openxmlformats.org/officeDocument/2006/relationships" r:id="rId2"/>
        </xdr:cNvPr>
        <xdr:cNvSpPr/>
      </xdr:nvSpPr>
      <xdr:spPr>
        <a:xfrm flipH="1">
          <a:off x="6649720" y="707390"/>
          <a:ext cx="92011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351216</xdr:colOff>
      <xdr:row>2</xdr:row>
      <xdr:rowOff>110980</xdr:rowOff>
    </xdr:from>
    <xdr:to>
      <xdr:col>15</xdr:col>
      <xdr:colOff>574864</xdr:colOff>
      <xdr:row>3</xdr:row>
      <xdr:rowOff>516828</xdr:rowOff>
    </xdr:to>
    <xdr:sp>
      <xdr:nvSpPr>
        <xdr:cNvPr id="6" name="Striped Right Arrow 5">
          <a:hlinkClick xmlns:r="http://schemas.openxmlformats.org/officeDocument/2006/relationships" r:id="rId3"/>
        </xdr:cNvPr>
        <xdr:cNvSpPr/>
      </xdr:nvSpPr>
      <xdr:spPr>
        <a:xfrm>
          <a:off x="7598410" y="710565"/>
          <a:ext cx="92011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19050</xdr:colOff>
      <xdr:row>3</xdr:row>
      <xdr:rowOff>476250</xdr:rowOff>
    </xdr:from>
    <xdr:to>
      <xdr:col>15</xdr:col>
      <xdr:colOff>85725</xdr:colOff>
      <xdr:row>4</xdr:row>
      <xdr:rowOff>285750</xdr:rowOff>
    </xdr:to>
    <xdr:pic>
      <xdr:nvPicPr>
        <xdr:cNvPr id="7169"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266305" y="1257300"/>
          <a:ext cx="76327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13</xdr:col>
      <xdr:colOff>525947</xdr:colOff>
      <xdr:row>0</xdr:row>
      <xdr:rowOff>314746</xdr:rowOff>
    </xdr:from>
    <xdr:to>
      <xdr:col>15</xdr:col>
      <xdr:colOff>272085</xdr:colOff>
      <xdr:row>2</xdr:row>
      <xdr:rowOff>71651</xdr:rowOff>
    </xdr:to>
    <xdr:sp>
      <xdr:nvSpPr>
        <xdr:cNvPr id="3" name="Round Same Side Corner Rectangle 2">
          <a:hlinkClick xmlns:r="http://schemas.openxmlformats.org/officeDocument/2006/relationships" r:id="rId1"/>
        </xdr:cNvPr>
        <xdr:cNvSpPr/>
      </xdr:nvSpPr>
      <xdr:spPr>
        <a:xfrm>
          <a:off x="7044055" y="314325"/>
          <a:ext cx="1139190" cy="356870"/>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257175</xdr:colOff>
      <xdr:row>4</xdr:row>
      <xdr:rowOff>537949</xdr:rowOff>
    </xdr:from>
    <xdr:to>
      <xdr:col>15</xdr:col>
      <xdr:colOff>533400</xdr:colOff>
      <xdr:row>6</xdr:row>
      <xdr:rowOff>182217</xdr:rowOff>
    </xdr:to>
    <xdr:sp>
      <xdr:nvSpPr>
        <xdr:cNvPr id="4" name="TextBox 3"/>
        <xdr:cNvSpPr txBox="1"/>
      </xdr:nvSpPr>
      <xdr:spPr>
        <a:xfrm>
          <a:off x="6775450" y="1547495"/>
          <a:ext cx="1669415" cy="74866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149087</xdr:colOff>
      <xdr:row>2</xdr:row>
      <xdr:rowOff>66261</xdr:rowOff>
    </xdr:from>
    <xdr:to>
      <xdr:col>14</xdr:col>
      <xdr:colOff>372735</xdr:colOff>
      <xdr:row>4</xdr:row>
      <xdr:rowOff>107674</xdr:rowOff>
    </xdr:to>
    <xdr:sp>
      <xdr:nvSpPr>
        <xdr:cNvPr id="5" name="Striped Right Arrow 4">
          <a:hlinkClick xmlns:r="http://schemas.openxmlformats.org/officeDocument/2006/relationships" r:id="rId2"/>
        </xdr:cNvPr>
        <xdr:cNvSpPr/>
      </xdr:nvSpPr>
      <xdr:spPr>
        <a:xfrm flipH="1">
          <a:off x="6666865" y="666115"/>
          <a:ext cx="920115" cy="45085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400912</xdr:colOff>
      <xdr:row>2</xdr:row>
      <xdr:rowOff>69567</xdr:rowOff>
    </xdr:from>
    <xdr:to>
      <xdr:col>16</xdr:col>
      <xdr:colOff>11647</xdr:colOff>
      <xdr:row>4</xdr:row>
      <xdr:rowOff>110980</xdr:rowOff>
    </xdr:to>
    <xdr:sp>
      <xdr:nvSpPr>
        <xdr:cNvPr id="6" name="Striped Right Arrow 5">
          <a:hlinkClick xmlns:r="http://schemas.openxmlformats.org/officeDocument/2006/relationships" r:id="rId3"/>
        </xdr:cNvPr>
        <xdr:cNvSpPr/>
      </xdr:nvSpPr>
      <xdr:spPr>
        <a:xfrm>
          <a:off x="7615555" y="669290"/>
          <a:ext cx="1003935" cy="45085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28575</xdr:colOff>
      <xdr:row>4</xdr:row>
      <xdr:rowOff>76200</xdr:rowOff>
    </xdr:from>
    <xdr:to>
      <xdr:col>15</xdr:col>
      <xdr:colOff>95250</xdr:colOff>
      <xdr:row>4</xdr:row>
      <xdr:rowOff>438150</xdr:rowOff>
    </xdr:to>
    <xdr:pic>
      <xdr:nvPicPr>
        <xdr:cNvPr id="8193"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243445" y="1085850"/>
          <a:ext cx="76327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13</xdr:col>
      <xdr:colOff>513938</xdr:colOff>
      <xdr:row>0</xdr:row>
      <xdr:rowOff>196719</xdr:rowOff>
    </xdr:from>
    <xdr:to>
      <xdr:col>15</xdr:col>
      <xdr:colOff>260076</xdr:colOff>
      <xdr:row>2</xdr:row>
      <xdr:rowOff>98984</xdr:rowOff>
    </xdr:to>
    <xdr:sp>
      <xdr:nvSpPr>
        <xdr:cNvPr id="3" name="Round Same Side Corner Rectangle 2">
          <a:hlinkClick xmlns:r="http://schemas.openxmlformats.org/officeDocument/2006/relationships" r:id="rId1"/>
        </xdr:cNvPr>
        <xdr:cNvSpPr/>
      </xdr:nvSpPr>
      <xdr:spPr>
        <a:xfrm>
          <a:off x="7042785" y="196215"/>
          <a:ext cx="1139190" cy="407035"/>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261730</xdr:colOff>
      <xdr:row>4</xdr:row>
      <xdr:rowOff>308522</xdr:rowOff>
    </xdr:from>
    <xdr:to>
      <xdr:col>15</xdr:col>
      <xdr:colOff>537955</xdr:colOff>
      <xdr:row>5</xdr:row>
      <xdr:rowOff>516830</xdr:rowOff>
    </xdr:to>
    <xdr:sp>
      <xdr:nvSpPr>
        <xdr:cNvPr id="4" name="TextBox 3"/>
        <xdr:cNvSpPr txBox="1"/>
      </xdr:nvSpPr>
      <xdr:spPr>
        <a:xfrm>
          <a:off x="6790690" y="1603375"/>
          <a:ext cx="1669415" cy="77025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173935</xdr:colOff>
      <xdr:row>2</xdr:row>
      <xdr:rowOff>74543</xdr:rowOff>
    </xdr:from>
    <xdr:to>
      <xdr:col>14</xdr:col>
      <xdr:colOff>397583</xdr:colOff>
      <xdr:row>3</xdr:row>
      <xdr:rowOff>480391</xdr:rowOff>
    </xdr:to>
    <xdr:sp>
      <xdr:nvSpPr>
        <xdr:cNvPr id="5" name="Striped Right Arrow 4">
          <a:hlinkClick xmlns:r="http://schemas.openxmlformats.org/officeDocument/2006/relationships" r:id="rId2"/>
        </xdr:cNvPr>
        <xdr:cNvSpPr/>
      </xdr:nvSpPr>
      <xdr:spPr>
        <a:xfrm flipH="1">
          <a:off x="6702425" y="579120"/>
          <a:ext cx="920750"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425760</xdr:colOff>
      <xdr:row>2</xdr:row>
      <xdr:rowOff>77849</xdr:rowOff>
    </xdr:from>
    <xdr:to>
      <xdr:col>16</xdr:col>
      <xdr:colOff>36495</xdr:colOff>
      <xdr:row>3</xdr:row>
      <xdr:rowOff>483697</xdr:rowOff>
    </xdr:to>
    <xdr:sp>
      <xdr:nvSpPr>
        <xdr:cNvPr id="6" name="Striped Right Arrow 5">
          <a:hlinkClick xmlns:r="http://schemas.openxmlformats.org/officeDocument/2006/relationships" r:id="rId3"/>
        </xdr:cNvPr>
        <xdr:cNvSpPr/>
      </xdr:nvSpPr>
      <xdr:spPr>
        <a:xfrm>
          <a:off x="7651115" y="582295"/>
          <a:ext cx="100393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57150</xdr:colOff>
      <xdr:row>3</xdr:row>
      <xdr:rowOff>447675</xdr:rowOff>
    </xdr:from>
    <xdr:to>
      <xdr:col>15</xdr:col>
      <xdr:colOff>123825</xdr:colOff>
      <xdr:row>4</xdr:row>
      <xdr:rowOff>200025</xdr:rowOff>
    </xdr:to>
    <xdr:pic>
      <xdr:nvPicPr>
        <xdr:cNvPr id="9217"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282815" y="1133475"/>
          <a:ext cx="76327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13</xdr:col>
      <xdr:colOff>561563</xdr:colOff>
      <xdr:row>0</xdr:row>
      <xdr:rowOff>281614</xdr:rowOff>
    </xdr:from>
    <xdr:to>
      <xdr:col>15</xdr:col>
      <xdr:colOff>307701</xdr:colOff>
      <xdr:row>2</xdr:row>
      <xdr:rowOff>71650</xdr:rowOff>
    </xdr:to>
    <xdr:sp>
      <xdr:nvSpPr>
        <xdr:cNvPr id="3" name="Round Same Side Corner Rectangle 2">
          <a:hlinkClick xmlns:r="http://schemas.openxmlformats.org/officeDocument/2006/relationships" r:id="rId1"/>
        </xdr:cNvPr>
        <xdr:cNvSpPr/>
      </xdr:nvSpPr>
      <xdr:spPr>
        <a:xfrm>
          <a:off x="7090410" y="281305"/>
          <a:ext cx="1139190" cy="370840"/>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359051</xdr:colOff>
      <xdr:row>4</xdr:row>
      <xdr:rowOff>380582</xdr:rowOff>
    </xdr:from>
    <xdr:to>
      <xdr:col>16</xdr:col>
      <xdr:colOff>22363</xdr:colOff>
      <xdr:row>6</xdr:row>
      <xdr:rowOff>82826</xdr:rowOff>
    </xdr:to>
    <xdr:sp>
      <xdr:nvSpPr>
        <xdr:cNvPr id="4" name="TextBox 3"/>
        <xdr:cNvSpPr txBox="1"/>
      </xdr:nvSpPr>
      <xdr:spPr>
        <a:xfrm>
          <a:off x="6887845" y="1532890"/>
          <a:ext cx="1753235" cy="69278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223630</xdr:colOff>
      <xdr:row>2</xdr:row>
      <xdr:rowOff>57978</xdr:rowOff>
    </xdr:from>
    <xdr:to>
      <xdr:col>14</xdr:col>
      <xdr:colOff>447278</xdr:colOff>
      <xdr:row>3</xdr:row>
      <xdr:rowOff>463826</xdr:rowOff>
    </xdr:to>
    <xdr:sp>
      <xdr:nvSpPr>
        <xdr:cNvPr id="5" name="Striped Right Arrow 4">
          <a:hlinkClick xmlns:r="http://schemas.openxmlformats.org/officeDocument/2006/relationships" r:id="rId2"/>
        </xdr:cNvPr>
        <xdr:cNvSpPr/>
      </xdr:nvSpPr>
      <xdr:spPr>
        <a:xfrm flipH="1">
          <a:off x="6752590" y="638810"/>
          <a:ext cx="920115" cy="513715"/>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475455</xdr:colOff>
      <xdr:row>2</xdr:row>
      <xdr:rowOff>61284</xdr:rowOff>
    </xdr:from>
    <xdr:to>
      <xdr:col>16</xdr:col>
      <xdr:colOff>86190</xdr:colOff>
      <xdr:row>3</xdr:row>
      <xdr:rowOff>467132</xdr:rowOff>
    </xdr:to>
    <xdr:sp>
      <xdr:nvSpPr>
        <xdr:cNvPr id="6" name="Striped Right Arrow 5">
          <a:hlinkClick xmlns:r="http://schemas.openxmlformats.org/officeDocument/2006/relationships" r:id="rId3"/>
        </xdr:cNvPr>
        <xdr:cNvSpPr/>
      </xdr:nvSpPr>
      <xdr:spPr>
        <a:xfrm>
          <a:off x="7700645" y="641985"/>
          <a:ext cx="1003935" cy="5105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133350</xdr:colOff>
      <xdr:row>4</xdr:row>
      <xdr:rowOff>0</xdr:rowOff>
    </xdr:from>
    <xdr:to>
      <xdr:col>15</xdr:col>
      <xdr:colOff>200025</xdr:colOff>
      <xdr:row>4</xdr:row>
      <xdr:rowOff>361950</xdr:rowOff>
    </xdr:to>
    <xdr:pic>
      <xdr:nvPicPr>
        <xdr:cNvPr id="10241"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359015" y="1152525"/>
          <a:ext cx="76327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13</xdr:col>
      <xdr:colOff>456788</xdr:colOff>
      <xdr:row>0</xdr:row>
      <xdr:rowOff>210801</xdr:rowOff>
    </xdr:from>
    <xdr:to>
      <xdr:col>15</xdr:col>
      <xdr:colOff>202926</xdr:colOff>
      <xdr:row>2</xdr:row>
      <xdr:rowOff>113066</xdr:rowOff>
    </xdr:to>
    <xdr:sp>
      <xdr:nvSpPr>
        <xdr:cNvPr id="3" name="Round Same Side Corner Rectangle 2">
          <a:hlinkClick xmlns:r="http://schemas.openxmlformats.org/officeDocument/2006/relationships" r:id="rId1"/>
        </xdr:cNvPr>
        <xdr:cNvSpPr/>
      </xdr:nvSpPr>
      <xdr:spPr>
        <a:xfrm>
          <a:off x="6724650" y="210185"/>
          <a:ext cx="1139190" cy="407670"/>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245994</xdr:colOff>
      <xdr:row>4</xdr:row>
      <xdr:rowOff>372298</xdr:rowOff>
    </xdr:from>
    <xdr:to>
      <xdr:col>15</xdr:col>
      <xdr:colOff>522219</xdr:colOff>
      <xdr:row>5</xdr:row>
      <xdr:rowOff>207888</xdr:rowOff>
    </xdr:to>
    <xdr:sp>
      <xdr:nvSpPr>
        <xdr:cNvPr id="4" name="TextBox 3"/>
        <xdr:cNvSpPr txBox="1"/>
      </xdr:nvSpPr>
      <xdr:spPr>
        <a:xfrm>
          <a:off x="6513830" y="1619885"/>
          <a:ext cx="1669415" cy="76898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99391</xdr:colOff>
      <xdr:row>2</xdr:row>
      <xdr:rowOff>82826</xdr:rowOff>
    </xdr:from>
    <xdr:to>
      <xdr:col>14</xdr:col>
      <xdr:colOff>323039</xdr:colOff>
      <xdr:row>3</xdr:row>
      <xdr:rowOff>488674</xdr:rowOff>
    </xdr:to>
    <xdr:sp>
      <xdr:nvSpPr>
        <xdr:cNvPr id="5" name="Striped Right Arrow 4">
          <a:hlinkClick xmlns:r="http://schemas.openxmlformats.org/officeDocument/2006/relationships" r:id="rId2"/>
        </xdr:cNvPr>
        <xdr:cNvSpPr/>
      </xdr:nvSpPr>
      <xdr:spPr>
        <a:xfrm flipH="1">
          <a:off x="6367145" y="587375"/>
          <a:ext cx="92011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351216</xdr:colOff>
      <xdr:row>2</xdr:row>
      <xdr:rowOff>86132</xdr:rowOff>
    </xdr:from>
    <xdr:to>
      <xdr:col>15</xdr:col>
      <xdr:colOff>574864</xdr:colOff>
      <xdr:row>3</xdr:row>
      <xdr:rowOff>491980</xdr:rowOff>
    </xdr:to>
    <xdr:sp>
      <xdr:nvSpPr>
        <xdr:cNvPr id="6" name="Striped Right Arrow 5">
          <a:hlinkClick xmlns:r="http://schemas.openxmlformats.org/officeDocument/2006/relationships" r:id="rId3"/>
        </xdr:cNvPr>
        <xdr:cNvSpPr/>
      </xdr:nvSpPr>
      <xdr:spPr>
        <a:xfrm>
          <a:off x="7315835" y="590550"/>
          <a:ext cx="92011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13</xdr:col>
      <xdr:colOff>600075</xdr:colOff>
      <xdr:row>3</xdr:row>
      <xdr:rowOff>514350</xdr:rowOff>
    </xdr:from>
    <xdr:to>
      <xdr:col>15</xdr:col>
      <xdr:colOff>38100</xdr:colOff>
      <xdr:row>4</xdr:row>
      <xdr:rowOff>323850</xdr:rowOff>
    </xdr:to>
    <xdr:pic>
      <xdr:nvPicPr>
        <xdr:cNvPr id="11265"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6868160" y="1200150"/>
          <a:ext cx="83121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13</xdr:col>
      <xdr:colOff>553280</xdr:colOff>
      <xdr:row>0</xdr:row>
      <xdr:rowOff>169386</xdr:rowOff>
    </xdr:from>
    <xdr:to>
      <xdr:col>15</xdr:col>
      <xdr:colOff>299418</xdr:colOff>
      <xdr:row>2</xdr:row>
      <xdr:rowOff>71651</xdr:rowOff>
    </xdr:to>
    <xdr:sp>
      <xdr:nvSpPr>
        <xdr:cNvPr id="3" name="Round Same Side Corner Rectangle 2">
          <a:hlinkClick xmlns:r="http://schemas.openxmlformats.org/officeDocument/2006/relationships" r:id="rId1"/>
        </xdr:cNvPr>
        <xdr:cNvSpPr/>
      </xdr:nvSpPr>
      <xdr:spPr>
        <a:xfrm>
          <a:off x="7092950" y="168910"/>
          <a:ext cx="1139190" cy="407035"/>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276225</xdr:colOff>
      <xdr:row>4</xdr:row>
      <xdr:rowOff>98972</xdr:rowOff>
    </xdr:from>
    <xdr:to>
      <xdr:col>15</xdr:col>
      <xdr:colOff>552450</xdr:colOff>
      <xdr:row>5</xdr:row>
      <xdr:rowOff>149910</xdr:rowOff>
    </xdr:to>
    <xdr:sp>
      <xdr:nvSpPr>
        <xdr:cNvPr id="4" name="TextBox 3"/>
        <xdr:cNvSpPr txBox="1"/>
      </xdr:nvSpPr>
      <xdr:spPr>
        <a:xfrm>
          <a:off x="6816090" y="1527175"/>
          <a:ext cx="1669415" cy="80391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190500</xdr:colOff>
      <xdr:row>2</xdr:row>
      <xdr:rowOff>16566</xdr:rowOff>
    </xdr:from>
    <xdr:to>
      <xdr:col>14</xdr:col>
      <xdr:colOff>414148</xdr:colOff>
      <xdr:row>3</xdr:row>
      <xdr:rowOff>422414</xdr:rowOff>
    </xdr:to>
    <xdr:sp>
      <xdr:nvSpPr>
        <xdr:cNvPr id="5" name="Striped Right Arrow 4">
          <a:hlinkClick xmlns:r="http://schemas.openxmlformats.org/officeDocument/2006/relationships" r:id="rId2"/>
        </xdr:cNvPr>
        <xdr:cNvSpPr/>
      </xdr:nvSpPr>
      <xdr:spPr>
        <a:xfrm flipH="1">
          <a:off x="6730365" y="521335"/>
          <a:ext cx="92011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442325</xdr:colOff>
      <xdr:row>2</xdr:row>
      <xdr:rowOff>19872</xdr:rowOff>
    </xdr:from>
    <xdr:to>
      <xdr:col>16</xdr:col>
      <xdr:colOff>53060</xdr:colOff>
      <xdr:row>3</xdr:row>
      <xdr:rowOff>425720</xdr:rowOff>
    </xdr:to>
    <xdr:sp>
      <xdr:nvSpPr>
        <xdr:cNvPr id="6" name="Striped Right Arrow 5">
          <a:hlinkClick xmlns:r="http://schemas.openxmlformats.org/officeDocument/2006/relationships" r:id="rId3"/>
        </xdr:cNvPr>
        <xdr:cNvSpPr/>
      </xdr:nvSpPr>
      <xdr:spPr>
        <a:xfrm>
          <a:off x="7678420" y="524510"/>
          <a:ext cx="100393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76200</xdr:colOff>
      <xdr:row>3</xdr:row>
      <xdr:rowOff>447675</xdr:rowOff>
    </xdr:from>
    <xdr:to>
      <xdr:col>15</xdr:col>
      <xdr:colOff>133350</xdr:colOff>
      <xdr:row>4</xdr:row>
      <xdr:rowOff>66675</xdr:rowOff>
    </xdr:to>
    <xdr:pic>
      <xdr:nvPicPr>
        <xdr:cNvPr id="12289"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312660" y="1133475"/>
          <a:ext cx="75374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14</xdr:col>
      <xdr:colOff>52181</xdr:colOff>
      <xdr:row>0</xdr:row>
      <xdr:rowOff>178911</xdr:rowOff>
    </xdr:from>
    <xdr:to>
      <xdr:col>15</xdr:col>
      <xdr:colOff>407919</xdr:colOff>
      <xdr:row>2</xdr:row>
      <xdr:rowOff>81176</xdr:rowOff>
    </xdr:to>
    <xdr:sp>
      <xdr:nvSpPr>
        <xdr:cNvPr id="3" name="Round Same Side Corner Rectangle 2">
          <a:hlinkClick xmlns:r="http://schemas.openxmlformats.org/officeDocument/2006/relationships" r:id="rId1"/>
        </xdr:cNvPr>
        <xdr:cNvSpPr/>
      </xdr:nvSpPr>
      <xdr:spPr>
        <a:xfrm>
          <a:off x="7288530" y="178435"/>
          <a:ext cx="1052195" cy="407035"/>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450988</xdr:colOff>
      <xdr:row>4</xdr:row>
      <xdr:rowOff>356975</xdr:rowOff>
    </xdr:from>
    <xdr:to>
      <xdr:col>16</xdr:col>
      <xdr:colOff>117613</xdr:colOff>
      <xdr:row>6</xdr:row>
      <xdr:rowOff>2066</xdr:rowOff>
    </xdr:to>
    <xdr:sp>
      <xdr:nvSpPr>
        <xdr:cNvPr id="4" name="TextBox 3"/>
        <xdr:cNvSpPr txBox="1"/>
      </xdr:nvSpPr>
      <xdr:spPr>
        <a:xfrm>
          <a:off x="6990715" y="1604645"/>
          <a:ext cx="1756410" cy="76898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306456</xdr:colOff>
      <xdr:row>2</xdr:row>
      <xdr:rowOff>49692</xdr:rowOff>
    </xdr:from>
    <xdr:to>
      <xdr:col>14</xdr:col>
      <xdr:colOff>530104</xdr:colOff>
      <xdr:row>3</xdr:row>
      <xdr:rowOff>455540</xdr:rowOff>
    </xdr:to>
    <xdr:sp>
      <xdr:nvSpPr>
        <xdr:cNvPr id="5" name="Striped Right Arrow 4">
          <a:hlinkClick xmlns:r="http://schemas.openxmlformats.org/officeDocument/2006/relationships" r:id="rId2"/>
        </xdr:cNvPr>
        <xdr:cNvSpPr/>
      </xdr:nvSpPr>
      <xdr:spPr>
        <a:xfrm flipH="1">
          <a:off x="6845935" y="554355"/>
          <a:ext cx="92011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558281</xdr:colOff>
      <xdr:row>2</xdr:row>
      <xdr:rowOff>52998</xdr:rowOff>
    </xdr:from>
    <xdr:to>
      <xdr:col>16</xdr:col>
      <xdr:colOff>169016</xdr:colOff>
      <xdr:row>3</xdr:row>
      <xdr:rowOff>458846</xdr:rowOff>
    </xdr:to>
    <xdr:sp>
      <xdr:nvSpPr>
        <xdr:cNvPr id="6" name="Striped Right Arrow 5">
          <a:hlinkClick xmlns:r="http://schemas.openxmlformats.org/officeDocument/2006/relationships" r:id="rId3"/>
        </xdr:cNvPr>
        <xdr:cNvSpPr/>
      </xdr:nvSpPr>
      <xdr:spPr>
        <a:xfrm>
          <a:off x="7794625" y="557530"/>
          <a:ext cx="100393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219075</xdr:colOff>
      <xdr:row>3</xdr:row>
      <xdr:rowOff>485775</xdr:rowOff>
    </xdr:from>
    <xdr:to>
      <xdr:col>15</xdr:col>
      <xdr:colOff>285750</xdr:colOff>
      <xdr:row>4</xdr:row>
      <xdr:rowOff>285750</xdr:rowOff>
    </xdr:to>
    <xdr:pic>
      <xdr:nvPicPr>
        <xdr:cNvPr id="13313"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455535" y="1171575"/>
          <a:ext cx="76327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13</xdr:col>
      <xdr:colOff>555343</xdr:colOff>
      <xdr:row>1</xdr:row>
      <xdr:rowOff>88224</xdr:rowOff>
    </xdr:from>
    <xdr:to>
      <xdr:col>15</xdr:col>
      <xdr:colOff>298168</xdr:colOff>
      <xdr:row>3</xdr:row>
      <xdr:rowOff>57990</xdr:rowOff>
    </xdr:to>
    <xdr:sp>
      <xdr:nvSpPr>
        <xdr:cNvPr id="3" name="Round Same Side Corner Rectangle 2">
          <a:hlinkClick xmlns:r="http://schemas.openxmlformats.org/officeDocument/2006/relationships" r:id="rId1"/>
        </xdr:cNvPr>
        <xdr:cNvSpPr/>
      </xdr:nvSpPr>
      <xdr:spPr>
        <a:xfrm>
          <a:off x="7084060" y="297180"/>
          <a:ext cx="1136015" cy="303530"/>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341243</xdr:colOff>
      <xdr:row>4</xdr:row>
      <xdr:rowOff>414120</xdr:rowOff>
    </xdr:from>
    <xdr:to>
      <xdr:col>16</xdr:col>
      <xdr:colOff>4555</xdr:colOff>
      <xdr:row>6</xdr:row>
      <xdr:rowOff>70806</xdr:rowOff>
    </xdr:to>
    <xdr:sp>
      <xdr:nvSpPr>
        <xdr:cNvPr id="4" name="TextBox 3"/>
        <xdr:cNvSpPr txBox="1"/>
      </xdr:nvSpPr>
      <xdr:spPr>
        <a:xfrm>
          <a:off x="6870065" y="1699895"/>
          <a:ext cx="1753235" cy="58991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190499</xdr:colOff>
      <xdr:row>3</xdr:row>
      <xdr:rowOff>33130</xdr:rowOff>
    </xdr:from>
    <xdr:to>
      <xdr:col>14</xdr:col>
      <xdr:colOff>414147</xdr:colOff>
      <xdr:row>3</xdr:row>
      <xdr:rowOff>654326</xdr:rowOff>
    </xdr:to>
    <xdr:sp>
      <xdr:nvSpPr>
        <xdr:cNvPr id="5" name="Striped Right Arrow 4">
          <a:hlinkClick xmlns:r="http://schemas.openxmlformats.org/officeDocument/2006/relationships" r:id="rId2"/>
        </xdr:cNvPr>
        <xdr:cNvSpPr/>
      </xdr:nvSpPr>
      <xdr:spPr>
        <a:xfrm flipH="1">
          <a:off x="6718935" y="575945"/>
          <a:ext cx="920750" cy="62103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442325</xdr:colOff>
      <xdr:row>3</xdr:row>
      <xdr:rowOff>36436</xdr:rowOff>
    </xdr:from>
    <xdr:to>
      <xdr:col>16</xdr:col>
      <xdr:colOff>53060</xdr:colOff>
      <xdr:row>3</xdr:row>
      <xdr:rowOff>629478</xdr:rowOff>
    </xdr:to>
    <xdr:sp>
      <xdr:nvSpPr>
        <xdr:cNvPr id="6" name="Striped Right Arrow 5">
          <a:hlinkClick xmlns:r="http://schemas.openxmlformats.org/officeDocument/2006/relationships" r:id="rId3"/>
        </xdr:cNvPr>
        <xdr:cNvSpPr/>
      </xdr:nvSpPr>
      <xdr:spPr>
        <a:xfrm>
          <a:off x="7667625" y="579120"/>
          <a:ext cx="1003935" cy="59309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85725</xdr:colOff>
      <xdr:row>4</xdr:row>
      <xdr:rowOff>28575</xdr:rowOff>
    </xdr:from>
    <xdr:to>
      <xdr:col>15</xdr:col>
      <xdr:colOff>142875</xdr:colOff>
      <xdr:row>4</xdr:row>
      <xdr:rowOff>390525</xdr:rowOff>
    </xdr:to>
    <xdr:pic>
      <xdr:nvPicPr>
        <xdr:cNvPr id="14337"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311390" y="1314450"/>
          <a:ext cx="75374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13</xdr:col>
      <xdr:colOff>582265</xdr:colOff>
      <xdr:row>0</xdr:row>
      <xdr:rowOff>281202</xdr:rowOff>
    </xdr:from>
    <xdr:to>
      <xdr:col>15</xdr:col>
      <xdr:colOff>325090</xdr:colOff>
      <xdr:row>2</xdr:row>
      <xdr:rowOff>157377</xdr:rowOff>
    </xdr:to>
    <xdr:sp>
      <xdr:nvSpPr>
        <xdr:cNvPr id="3" name="Round Same Side Corner Rectangle 2">
          <a:hlinkClick xmlns:r="http://schemas.openxmlformats.org/officeDocument/2006/relationships" r:id="rId1"/>
        </xdr:cNvPr>
        <xdr:cNvSpPr/>
      </xdr:nvSpPr>
      <xdr:spPr>
        <a:xfrm>
          <a:off x="7121525" y="280670"/>
          <a:ext cx="1136015" cy="381000"/>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400878</xdr:colOff>
      <xdr:row>4</xdr:row>
      <xdr:rowOff>603803</xdr:rowOff>
    </xdr:from>
    <xdr:to>
      <xdr:col>16</xdr:col>
      <xdr:colOff>67503</xdr:colOff>
      <xdr:row>6</xdr:row>
      <xdr:rowOff>286579</xdr:rowOff>
    </xdr:to>
    <xdr:sp>
      <xdr:nvSpPr>
        <xdr:cNvPr id="4" name="TextBox 3"/>
        <xdr:cNvSpPr txBox="1"/>
      </xdr:nvSpPr>
      <xdr:spPr>
        <a:xfrm>
          <a:off x="6940550" y="1466850"/>
          <a:ext cx="1756410" cy="65786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219075</xdr:colOff>
      <xdr:row>2</xdr:row>
      <xdr:rowOff>152400</xdr:rowOff>
    </xdr:from>
    <xdr:to>
      <xdr:col>14</xdr:col>
      <xdr:colOff>446036</xdr:colOff>
      <xdr:row>4</xdr:row>
      <xdr:rowOff>196298</xdr:rowOff>
    </xdr:to>
    <xdr:sp>
      <xdr:nvSpPr>
        <xdr:cNvPr id="5" name="Striped Right Arrow 4">
          <a:hlinkClick xmlns:r="http://schemas.openxmlformats.org/officeDocument/2006/relationships" r:id="rId2"/>
        </xdr:cNvPr>
        <xdr:cNvSpPr/>
      </xdr:nvSpPr>
      <xdr:spPr>
        <a:xfrm flipH="1">
          <a:off x="6758940" y="657225"/>
          <a:ext cx="923290" cy="443865"/>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14</xdr:col>
      <xdr:colOff>474213</xdr:colOff>
      <xdr:row>2</xdr:row>
      <xdr:rowOff>155706</xdr:rowOff>
    </xdr:from>
    <xdr:to>
      <xdr:col>16</xdr:col>
      <xdr:colOff>91574</xdr:colOff>
      <xdr:row>4</xdr:row>
      <xdr:rowOff>199604</xdr:rowOff>
    </xdr:to>
    <xdr:sp>
      <xdr:nvSpPr>
        <xdr:cNvPr id="6" name="Striped Right Arrow 5">
          <a:hlinkClick xmlns:r="http://schemas.openxmlformats.org/officeDocument/2006/relationships" r:id="rId3"/>
        </xdr:cNvPr>
        <xdr:cNvSpPr/>
      </xdr:nvSpPr>
      <xdr:spPr>
        <a:xfrm>
          <a:off x="7710170" y="660400"/>
          <a:ext cx="1010920" cy="443865"/>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95250</xdr:colOff>
      <xdr:row>4</xdr:row>
      <xdr:rowOff>190500</xdr:rowOff>
    </xdr:from>
    <xdr:to>
      <xdr:col>15</xdr:col>
      <xdr:colOff>161925</xdr:colOff>
      <xdr:row>4</xdr:row>
      <xdr:rowOff>552450</xdr:rowOff>
    </xdr:to>
    <xdr:pic>
      <xdr:nvPicPr>
        <xdr:cNvPr id="15361"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331710" y="1095375"/>
          <a:ext cx="76327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14</xdr:col>
      <xdr:colOff>144534</xdr:colOff>
      <xdr:row>0</xdr:row>
      <xdr:rowOff>165660</xdr:rowOff>
    </xdr:from>
    <xdr:to>
      <xdr:col>15</xdr:col>
      <xdr:colOff>496959</xdr:colOff>
      <xdr:row>2</xdr:row>
      <xdr:rowOff>68753</xdr:rowOff>
    </xdr:to>
    <xdr:sp>
      <xdr:nvSpPr>
        <xdr:cNvPr id="4" name="Round Same Side Corner Rectangle 3">
          <a:hlinkClick xmlns:r="http://schemas.openxmlformats.org/officeDocument/2006/relationships" r:id="rId1"/>
        </xdr:cNvPr>
        <xdr:cNvSpPr/>
      </xdr:nvSpPr>
      <xdr:spPr>
        <a:xfrm>
          <a:off x="7369810" y="165100"/>
          <a:ext cx="1049020" cy="494030"/>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472111</xdr:colOff>
      <xdr:row>4</xdr:row>
      <xdr:rowOff>120920</xdr:rowOff>
    </xdr:from>
    <xdr:to>
      <xdr:col>16</xdr:col>
      <xdr:colOff>128796</xdr:colOff>
      <xdr:row>5</xdr:row>
      <xdr:rowOff>265043</xdr:rowOff>
    </xdr:to>
    <xdr:sp>
      <xdr:nvSpPr>
        <xdr:cNvPr id="5" name="TextBox 4"/>
        <xdr:cNvSpPr txBox="1"/>
      </xdr:nvSpPr>
      <xdr:spPr>
        <a:xfrm>
          <a:off x="7000875" y="1606550"/>
          <a:ext cx="1746250" cy="72517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389283</xdr:colOff>
      <xdr:row>2</xdr:row>
      <xdr:rowOff>24848</xdr:rowOff>
    </xdr:from>
    <xdr:to>
      <xdr:col>15</xdr:col>
      <xdr:colOff>18</xdr:colOff>
      <xdr:row>3</xdr:row>
      <xdr:rowOff>430696</xdr:rowOff>
    </xdr:to>
    <xdr:sp>
      <xdr:nvSpPr>
        <xdr:cNvPr id="6" name="Striped Right Arrow 5">
          <a:hlinkClick xmlns:r="http://schemas.openxmlformats.org/officeDocument/2006/relationships" r:id="rId2"/>
        </xdr:cNvPr>
        <xdr:cNvSpPr/>
      </xdr:nvSpPr>
      <xdr:spPr>
        <a:xfrm flipH="1">
          <a:off x="6918325" y="615315"/>
          <a:ext cx="100393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BACK</a:t>
          </a:r>
          <a:endParaRPr lang="id-ID" sz="1100" b="1">
            <a:solidFill>
              <a:sysClr val="windowText" lastClr="000000"/>
            </a:solidFill>
          </a:endParaRPr>
        </a:p>
      </xdr:txBody>
    </xdr:sp>
    <xdr:clientData/>
  </xdr:twoCellAnchor>
  <xdr:twoCellAnchor>
    <xdr:from>
      <xdr:col>15</xdr:col>
      <xdr:colOff>28195</xdr:colOff>
      <xdr:row>2</xdr:row>
      <xdr:rowOff>28154</xdr:rowOff>
    </xdr:from>
    <xdr:to>
      <xdr:col>16</xdr:col>
      <xdr:colOff>251843</xdr:colOff>
      <xdr:row>3</xdr:row>
      <xdr:rowOff>434002</xdr:rowOff>
    </xdr:to>
    <xdr:sp>
      <xdr:nvSpPr>
        <xdr:cNvPr id="7" name="Striped Right Arrow 6">
          <a:hlinkClick xmlns:r="http://schemas.openxmlformats.org/officeDocument/2006/relationships" r:id="rId3"/>
        </xdr:cNvPr>
        <xdr:cNvSpPr/>
      </xdr:nvSpPr>
      <xdr:spPr>
        <a:xfrm>
          <a:off x="7950200" y="618490"/>
          <a:ext cx="920115" cy="58674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276225</xdr:colOff>
      <xdr:row>3</xdr:row>
      <xdr:rowOff>409575</xdr:rowOff>
    </xdr:from>
    <xdr:to>
      <xdr:col>15</xdr:col>
      <xdr:colOff>333375</xdr:colOff>
      <xdr:row>4</xdr:row>
      <xdr:rowOff>57150</xdr:rowOff>
    </xdr:to>
    <xdr:pic>
      <xdr:nvPicPr>
        <xdr:cNvPr id="16385" name="CommandButton1"/>
        <xdr:cNvPicPr>
          <a:picLocks noChangeAspect="1" noChangeArrowheads="1"/>
        </xdr:cNvPicPr>
      </xdr:nvPicPr>
      <xdr:blipFill>
        <a:blip r:embed="rId4">
          <a:extLst>
            <a:ext uri="{28A0092B-C50C-407E-A947-70E740481C1C}">
              <a14:useLocalDpi xmlns:a14="http://schemas.microsoft.com/office/drawing/2010/main" val="0"/>
            </a:ext>
          </a:extLst>
        </a:blip>
        <a:srcRect/>
        <a:stretch>
          <a:fillRect/>
        </a:stretch>
      </xdr:blipFill>
      <xdr:spPr>
        <a:xfrm>
          <a:off x="7501890" y="1181100"/>
          <a:ext cx="75374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13</xdr:col>
      <xdr:colOff>442683</xdr:colOff>
      <xdr:row>0</xdr:row>
      <xdr:rowOff>140809</xdr:rowOff>
    </xdr:from>
    <xdr:to>
      <xdr:col>15</xdr:col>
      <xdr:colOff>182195</xdr:colOff>
      <xdr:row>2</xdr:row>
      <xdr:rowOff>115962</xdr:rowOff>
    </xdr:to>
    <xdr:sp>
      <xdr:nvSpPr>
        <xdr:cNvPr id="4" name="Round Same Side Corner Rectangle 3">
          <a:hlinkClick xmlns:r="http://schemas.openxmlformats.org/officeDocument/2006/relationships" r:id="rId1"/>
        </xdr:cNvPr>
        <xdr:cNvSpPr/>
      </xdr:nvSpPr>
      <xdr:spPr>
        <a:xfrm>
          <a:off x="6982460" y="140335"/>
          <a:ext cx="1132205" cy="413385"/>
        </a:xfrm>
        <a:prstGeom prst="round2SameRect">
          <a:avLst>
            <a:gd name="adj1" fmla="val 43940"/>
            <a:gd name="adj2" fmla="val 0"/>
          </a:avLst>
        </a:prstGeom>
        <a:solidFill>
          <a:schemeClr val="accent2"/>
        </a:solidFill>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800" b="1">
              <a:latin typeface="Agency FB" pitchFamily="34" charset="0"/>
            </a:rPr>
            <a:t>FORM 1C</a:t>
          </a:r>
          <a:endParaRPr lang="id-ID" sz="2000" b="1">
            <a:latin typeface="Agency FB" pitchFamily="34" charset="0"/>
          </a:endParaRPr>
        </a:p>
      </xdr:txBody>
    </xdr:sp>
    <xdr:clientData/>
  </xdr:twoCellAnchor>
  <xdr:twoCellAnchor>
    <xdr:from>
      <xdr:col>13</xdr:col>
      <xdr:colOff>265022</xdr:colOff>
      <xdr:row>5</xdr:row>
      <xdr:rowOff>129208</xdr:rowOff>
    </xdr:from>
    <xdr:to>
      <xdr:col>15</xdr:col>
      <xdr:colOff>534621</xdr:colOff>
      <xdr:row>6</xdr:row>
      <xdr:rowOff>313910</xdr:rowOff>
    </xdr:to>
    <xdr:sp>
      <xdr:nvSpPr>
        <xdr:cNvPr id="5" name="TextBox 4"/>
        <xdr:cNvSpPr txBox="1"/>
      </xdr:nvSpPr>
      <xdr:spPr>
        <a:xfrm>
          <a:off x="6804660" y="1710055"/>
          <a:ext cx="1662430" cy="75628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wrap="square" rtlCol="0" anchor="ctr"/>
        <a:lstStyle/>
        <a:p>
          <a:pPr algn="l"/>
          <a:r>
            <a:rPr lang="id-ID" sz="1100"/>
            <a:t>ISI YANG BERWARNA BIRU DENGAN HURUF </a:t>
          </a:r>
          <a:r>
            <a:rPr lang="id-ID" sz="1600" b="1"/>
            <a:t>"V"</a:t>
          </a:r>
          <a:endParaRPr lang="id-ID" sz="1100" b="1"/>
        </a:p>
      </xdr:txBody>
    </xdr:sp>
    <xdr:clientData/>
  </xdr:twoCellAnchor>
  <xdr:twoCellAnchor>
    <xdr:from>
      <xdr:col>13</xdr:col>
      <xdr:colOff>607976</xdr:colOff>
      <xdr:row>2</xdr:row>
      <xdr:rowOff>144108</xdr:rowOff>
    </xdr:from>
    <xdr:to>
      <xdr:col>15</xdr:col>
      <xdr:colOff>218711</xdr:colOff>
      <xdr:row>4</xdr:row>
      <xdr:rowOff>185521</xdr:rowOff>
    </xdr:to>
    <xdr:sp>
      <xdr:nvSpPr>
        <xdr:cNvPr id="7" name="Striped Right Arrow 6">
          <a:hlinkClick xmlns:r="http://schemas.openxmlformats.org/officeDocument/2006/relationships" r:id="rId2"/>
        </xdr:cNvPr>
        <xdr:cNvSpPr/>
      </xdr:nvSpPr>
      <xdr:spPr>
        <a:xfrm>
          <a:off x="7147560" y="581660"/>
          <a:ext cx="1003935" cy="613410"/>
        </a:xfrm>
        <a:prstGeom prst="stripedRightArrow">
          <a:avLst>
            <a:gd name="adj1" fmla="val 63889"/>
            <a:gd name="adj2" fmla="val 50000"/>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id-ID" sz="1100" b="1">
              <a:solidFill>
                <a:sysClr val="windowText" lastClr="000000"/>
              </a:solidFill>
            </a:rPr>
            <a:t>NEXT</a:t>
          </a:r>
          <a:endParaRPr lang="id-ID" sz="1100" b="1">
            <a:solidFill>
              <a:sysClr val="windowText" lastClr="000000"/>
            </a:solidFill>
          </a:endParaRPr>
        </a:p>
      </xdr:txBody>
    </xdr:sp>
    <xdr:clientData/>
  </xdr:twoCellAnchor>
  <xdr:twoCellAnchor editAs="oneCell">
    <xdr:from>
      <xdr:col>14</xdr:col>
      <xdr:colOff>38100</xdr:colOff>
      <xdr:row>4</xdr:row>
      <xdr:rowOff>295275</xdr:rowOff>
    </xdr:from>
    <xdr:to>
      <xdr:col>15</xdr:col>
      <xdr:colOff>95250</xdr:colOff>
      <xdr:row>5</xdr:row>
      <xdr:rowOff>85725</xdr:rowOff>
    </xdr:to>
    <xdr:pic>
      <xdr:nvPicPr>
        <xdr:cNvPr id="17409" name="CommandButton1"/>
        <xdr:cNvPicPr>
          <a:picLocks noChangeAspect="1" noChangeArrowheads="1"/>
        </xdr:cNvPicPr>
      </xdr:nvPicPr>
      <xdr:blipFill>
        <a:blip r:embed="rId3">
          <a:extLst>
            <a:ext uri="{28A0092B-C50C-407E-A947-70E740481C1C}">
              <a14:useLocalDpi xmlns:a14="http://schemas.microsoft.com/office/drawing/2010/main" val="0"/>
            </a:ext>
          </a:extLst>
        </a:blip>
        <a:srcRect/>
        <a:stretch>
          <a:fillRect/>
        </a:stretch>
      </xdr:blipFill>
      <xdr:spPr>
        <a:xfrm>
          <a:off x="7274560" y="1304925"/>
          <a:ext cx="75374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xmlns:a14="http://schemas.microsoft.com/office/drawing/2010/main" val="000000" mc:Ignorable="a14" a14:legacySpreadsheetColorIndex="64"/>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0000"/>
  </sheetPr>
  <dimension ref="A1:AF44"/>
  <sheetViews>
    <sheetView showGridLines="0" tabSelected="1" zoomScale="85" zoomScaleNormal="85" zoomScaleSheetLayoutView="85" workbookViewId="0">
      <selection activeCell="Z14" sqref="Z14"/>
    </sheetView>
  </sheetViews>
  <sheetFormatPr defaultColWidth="9.14166666666667" defaultRowHeight="14.25"/>
  <cols>
    <col min="1" max="1" width="5.14166666666667" style="195" customWidth="1"/>
    <col min="2" max="2" width="3.425" style="195" customWidth="1"/>
    <col min="3" max="4" width="9.14166666666667" style="195"/>
    <col min="5" max="5" width="4.85833333333333" style="195" customWidth="1"/>
    <col min="6" max="6" width="5.425" style="195" customWidth="1"/>
    <col min="7" max="10" width="9.14166666666667" style="195"/>
    <col min="11" max="13" width="2.70833333333333" style="195" customWidth="1"/>
    <col min="14" max="15" width="9.14166666666667" style="195"/>
    <col min="16" max="16" width="12.1416666666667" style="195" customWidth="1"/>
    <col min="17" max="17" width="2.56666666666667" style="195" customWidth="1"/>
    <col min="18" max="18" width="5.425" style="195" customWidth="1"/>
    <col min="19" max="21" width="9.14166666666667" style="195"/>
    <col min="22" max="22" width="2.70833333333333" style="195" customWidth="1"/>
    <col min="23" max="23" width="9.28333333333333" style="195" customWidth="1"/>
    <col min="24" max="24" width="2.70833333333333" style="195" customWidth="1"/>
    <col min="25" max="25" width="5.14166666666667" style="195" customWidth="1"/>
    <col min="26" max="29" width="9.14166666666667" style="195" customWidth="1"/>
    <col min="30" max="16384" width="9.14166666666667" style="195"/>
  </cols>
  <sheetData>
    <row r="1" ht="80.25" customHeight="1" spans="1:30">
      <c r="A1" s="196" t="s">
        <v>0</v>
      </c>
      <c r="B1" s="196"/>
      <c r="C1" s="196"/>
      <c r="D1" s="196"/>
      <c r="E1" s="196"/>
      <c r="F1" s="196"/>
      <c r="G1" s="196"/>
      <c r="H1" s="196"/>
      <c r="I1" s="196"/>
      <c r="J1" s="196"/>
      <c r="K1" s="196"/>
      <c r="L1" s="196"/>
      <c r="M1" s="196"/>
      <c r="N1" s="196"/>
      <c r="O1" s="196"/>
      <c r="P1" s="196"/>
      <c r="Q1" s="196"/>
      <c r="R1" s="196"/>
      <c r="S1" s="196"/>
      <c r="T1" s="196"/>
      <c r="U1" s="196"/>
      <c r="V1" s="196"/>
      <c r="W1" s="196"/>
      <c r="X1" s="196"/>
      <c r="Y1" s="196"/>
      <c r="AA1" s="251" t="s">
        <v>1</v>
      </c>
      <c r="AB1" s="251"/>
      <c r="AC1" s="251"/>
      <c r="AD1" s="251"/>
    </row>
    <row r="2" ht="24.75" customHeight="1" spans="1:31">
      <c r="A2" s="197"/>
      <c r="B2" s="198" t="s">
        <v>2</v>
      </c>
      <c r="C2" s="199"/>
      <c r="D2" s="199"/>
      <c r="E2" s="265" t="s">
        <v>3</v>
      </c>
      <c r="F2" s="217"/>
      <c r="G2" s="217"/>
      <c r="H2" s="197"/>
      <c r="I2" s="198" t="s">
        <v>4</v>
      </c>
      <c r="J2" s="227"/>
      <c r="K2" s="197"/>
      <c r="L2" s="228" t="s">
        <v>5</v>
      </c>
      <c r="M2" s="228"/>
      <c r="N2" s="228"/>
      <c r="O2" s="228"/>
      <c r="P2" s="228"/>
      <c r="Q2" s="228"/>
      <c r="R2" s="227"/>
      <c r="S2" s="238" t="s">
        <v>6</v>
      </c>
      <c r="T2" s="227"/>
      <c r="U2" s="197"/>
      <c r="V2" s="245">
        <v>24</v>
      </c>
      <c r="W2" s="245"/>
      <c r="X2" s="198" t="s">
        <v>7</v>
      </c>
      <c r="Y2" s="197"/>
      <c r="AA2" s="252"/>
      <c r="AB2" s="252"/>
      <c r="AC2" s="252"/>
      <c r="AD2" s="252"/>
      <c r="AE2" s="120"/>
    </row>
    <row r="3" s="194" customFormat="1" ht="24.75" customHeight="1" spans="1:32">
      <c r="A3" s="200"/>
      <c r="B3" s="201" t="s">
        <v>8</v>
      </c>
      <c r="C3" s="201"/>
      <c r="D3" s="201"/>
      <c r="E3" s="201"/>
      <c r="F3" s="201"/>
      <c r="G3" s="201"/>
      <c r="H3" s="201"/>
      <c r="I3" s="201"/>
      <c r="J3" s="201"/>
      <c r="K3" s="229"/>
      <c r="L3" s="230"/>
      <c r="M3" s="229"/>
      <c r="N3" s="201" t="s">
        <v>9</v>
      </c>
      <c r="O3" s="201"/>
      <c r="P3" s="201"/>
      <c r="Q3" s="201"/>
      <c r="R3" s="201"/>
      <c r="S3" s="201"/>
      <c r="T3" s="201"/>
      <c r="U3" s="201"/>
      <c r="V3" s="201"/>
      <c r="W3" s="201"/>
      <c r="X3" s="201"/>
      <c r="Y3" s="253"/>
      <c r="AA3" s="254"/>
      <c r="AB3" s="255" t="s">
        <v>10</v>
      </c>
      <c r="AC3" s="254"/>
      <c r="AD3" s="254"/>
      <c r="AE3" s="263"/>
      <c r="AF3" s="264"/>
    </row>
    <row r="4" s="194" customFormat="1" ht="15" customHeight="1" spans="1:32">
      <c r="A4" s="202"/>
      <c r="B4" s="203"/>
      <c r="C4" s="203"/>
      <c r="D4" s="203"/>
      <c r="E4" s="203"/>
      <c r="F4" s="203"/>
      <c r="G4" s="203"/>
      <c r="H4" s="203"/>
      <c r="I4" s="203"/>
      <c r="J4" s="203"/>
      <c r="K4" s="231"/>
      <c r="L4" s="232"/>
      <c r="M4" s="231"/>
      <c r="N4" s="203"/>
      <c r="O4" s="203"/>
      <c r="P4" s="203"/>
      <c r="Q4" s="203"/>
      <c r="R4" s="203"/>
      <c r="S4" s="203"/>
      <c r="T4" s="203"/>
      <c r="U4" s="203"/>
      <c r="V4" s="203"/>
      <c r="W4" s="203"/>
      <c r="X4" s="203"/>
      <c r="Y4" s="256"/>
      <c r="AA4" s="254"/>
      <c r="AB4" s="255"/>
      <c r="AC4" s="254"/>
      <c r="AD4" s="254"/>
      <c r="AE4" s="263"/>
      <c r="AF4" s="264"/>
    </row>
    <row r="5" s="194" customFormat="1" ht="15" customHeight="1" spans="1:32">
      <c r="A5" s="202"/>
      <c r="B5" s="203"/>
      <c r="C5" s="203"/>
      <c r="D5" s="203"/>
      <c r="E5" s="203"/>
      <c r="F5" s="203"/>
      <c r="G5" s="203"/>
      <c r="H5" s="203"/>
      <c r="I5" s="203"/>
      <c r="J5" s="203"/>
      <c r="K5" s="231"/>
      <c r="L5" s="232"/>
      <c r="M5" s="231"/>
      <c r="N5" s="236" t="s">
        <v>11</v>
      </c>
      <c r="O5" s="236"/>
      <c r="P5" s="236"/>
      <c r="Q5" s="236"/>
      <c r="R5" s="236" t="s">
        <v>12</v>
      </c>
      <c r="S5" s="239">
        <v>8844769670230280</v>
      </c>
      <c r="T5" s="240"/>
      <c r="U5" s="240"/>
      <c r="V5" s="240"/>
      <c r="W5" s="246"/>
      <c r="X5" s="247"/>
      <c r="Y5" s="256"/>
      <c r="AA5" s="254"/>
      <c r="AB5" s="255"/>
      <c r="AC5" s="254"/>
      <c r="AD5" s="254"/>
      <c r="AE5" s="263"/>
      <c r="AF5" s="264"/>
    </row>
    <row r="6" ht="3" customHeight="1" spans="1:32">
      <c r="A6" s="204"/>
      <c r="B6" s="205"/>
      <c r="C6" s="205"/>
      <c r="D6" s="205"/>
      <c r="E6" s="205"/>
      <c r="F6" s="205"/>
      <c r="G6" s="205"/>
      <c r="H6" s="205"/>
      <c r="I6" s="205"/>
      <c r="J6" s="205"/>
      <c r="K6" s="205"/>
      <c r="L6" s="233"/>
      <c r="M6" s="205"/>
      <c r="N6" s="205"/>
      <c r="O6" s="205"/>
      <c r="P6" s="205"/>
      <c r="Q6" s="205"/>
      <c r="R6" s="205"/>
      <c r="S6" s="241"/>
      <c r="T6" s="241"/>
      <c r="U6" s="241"/>
      <c r="V6" s="241"/>
      <c r="W6" s="241"/>
      <c r="X6" s="205"/>
      <c r="Y6" s="257"/>
      <c r="AA6" s="252"/>
      <c r="AB6" s="258">
        <f ca="1">TODAY()</f>
        <v>45129</v>
      </c>
      <c r="AC6" s="258"/>
      <c r="AD6" s="252"/>
      <c r="AE6" s="120"/>
      <c r="AF6" s="259"/>
    </row>
    <row r="7" ht="15" customHeight="1" spans="1:32">
      <c r="A7" s="204"/>
      <c r="B7" s="205"/>
      <c r="C7" s="206" t="s">
        <v>13</v>
      </c>
      <c r="D7" s="205"/>
      <c r="E7" s="205"/>
      <c r="F7" s="218" t="s">
        <v>12</v>
      </c>
      <c r="G7" s="219" t="s">
        <v>14</v>
      </c>
      <c r="H7" s="220"/>
      <c r="I7" s="220"/>
      <c r="J7" s="234"/>
      <c r="K7" s="205"/>
      <c r="L7" s="233"/>
      <c r="M7" s="205"/>
      <c r="N7" s="207" t="s">
        <v>15</v>
      </c>
      <c r="O7" s="207"/>
      <c r="P7" s="207"/>
      <c r="Q7" s="205"/>
      <c r="R7" s="218" t="s">
        <v>12</v>
      </c>
      <c r="S7" s="219" t="s">
        <v>16</v>
      </c>
      <c r="T7" s="220"/>
      <c r="U7" s="220"/>
      <c r="V7" s="220"/>
      <c r="W7" s="234"/>
      <c r="X7" s="205"/>
      <c r="Y7" s="257"/>
      <c r="AA7" s="252"/>
      <c r="AB7" s="252"/>
      <c r="AC7" s="252"/>
      <c r="AD7" s="252"/>
      <c r="AE7" s="120"/>
      <c r="AF7" s="259"/>
    </row>
    <row r="8" ht="3" customHeight="1" spans="1:32">
      <c r="A8" s="204"/>
      <c r="B8" s="205"/>
      <c r="C8" s="206"/>
      <c r="D8" s="205"/>
      <c r="E8" s="205"/>
      <c r="F8" s="218"/>
      <c r="G8" s="221"/>
      <c r="H8" s="221"/>
      <c r="I8" s="221"/>
      <c r="J8" s="221"/>
      <c r="K8" s="205"/>
      <c r="L8" s="233"/>
      <c r="M8" s="205"/>
      <c r="N8" s="205"/>
      <c r="O8" s="207"/>
      <c r="P8" s="207"/>
      <c r="Q8" s="205"/>
      <c r="R8" s="218"/>
      <c r="S8" s="221"/>
      <c r="T8" s="221"/>
      <c r="U8" s="221"/>
      <c r="V8" s="221"/>
      <c r="W8" s="221"/>
      <c r="X8" s="205"/>
      <c r="Y8" s="257"/>
      <c r="AA8" s="252"/>
      <c r="AB8" s="252"/>
      <c r="AC8" s="252"/>
      <c r="AD8" s="252"/>
      <c r="AE8" s="120"/>
      <c r="AF8" s="259"/>
    </row>
    <row r="9" ht="15" customHeight="1" spans="1:32">
      <c r="A9" s="204"/>
      <c r="B9" s="205"/>
      <c r="C9" s="206" t="s">
        <v>17</v>
      </c>
      <c r="D9" s="205"/>
      <c r="E9" s="205"/>
      <c r="F9" s="218" t="s">
        <v>12</v>
      </c>
      <c r="G9" s="219" t="s">
        <v>18</v>
      </c>
      <c r="H9" s="220"/>
      <c r="I9" s="220"/>
      <c r="J9" s="234"/>
      <c r="K9" s="205"/>
      <c r="L9" s="233"/>
      <c r="M9" s="205"/>
      <c r="N9" s="207" t="s">
        <v>19</v>
      </c>
      <c r="O9" s="207"/>
      <c r="P9" s="207"/>
      <c r="Q9" s="205"/>
      <c r="R9" s="218" t="s">
        <v>12</v>
      </c>
      <c r="S9" s="219"/>
      <c r="T9" s="220"/>
      <c r="U9" s="234"/>
      <c r="V9" s="248" t="s">
        <v>20</v>
      </c>
      <c r="W9" s="226"/>
      <c r="X9" s="205"/>
      <c r="Y9" s="257"/>
      <c r="AA9" s="252"/>
      <c r="AB9" s="252"/>
      <c r="AC9" s="252"/>
      <c r="AD9" s="252"/>
      <c r="AE9" s="120"/>
      <c r="AF9" s="259"/>
    </row>
    <row r="10" ht="3" customHeight="1" spans="1:32">
      <c r="A10" s="204"/>
      <c r="B10" s="205"/>
      <c r="C10" s="206"/>
      <c r="D10" s="205"/>
      <c r="E10" s="205"/>
      <c r="F10" s="218"/>
      <c r="G10" s="221"/>
      <c r="H10" s="221"/>
      <c r="I10" s="221"/>
      <c r="J10" s="221"/>
      <c r="K10" s="205"/>
      <c r="L10" s="233"/>
      <c r="M10" s="205"/>
      <c r="N10" s="205"/>
      <c r="O10" s="207"/>
      <c r="P10" s="207"/>
      <c r="Q10" s="205"/>
      <c r="R10" s="218"/>
      <c r="S10" s="221"/>
      <c r="T10" s="221"/>
      <c r="U10" s="221"/>
      <c r="V10" s="221"/>
      <c r="W10" s="221"/>
      <c r="X10" s="205"/>
      <c r="Y10" s="257"/>
      <c r="AA10" s="120"/>
      <c r="AB10" s="120"/>
      <c r="AC10" s="120"/>
      <c r="AD10" s="120"/>
      <c r="AE10" s="120"/>
      <c r="AF10" s="259"/>
    </row>
    <row r="11" ht="15" customHeight="1" spans="1:32">
      <c r="A11" s="204"/>
      <c r="B11" s="205"/>
      <c r="C11" s="206" t="s">
        <v>21</v>
      </c>
      <c r="D11" s="205"/>
      <c r="E11" s="205"/>
      <c r="F11" s="218" t="s">
        <v>12</v>
      </c>
      <c r="G11" s="266" t="s">
        <v>22</v>
      </c>
      <c r="H11" s="220"/>
      <c r="I11" s="220"/>
      <c r="J11" s="234"/>
      <c r="K11" s="205"/>
      <c r="L11" s="233"/>
      <c r="M11" s="205"/>
      <c r="N11" s="207" t="s">
        <v>23</v>
      </c>
      <c r="O11" s="207"/>
      <c r="P11" s="207"/>
      <c r="Q11" s="205"/>
      <c r="R11" s="218" t="s">
        <v>12</v>
      </c>
      <c r="S11" s="219" t="s">
        <v>24</v>
      </c>
      <c r="T11" s="220"/>
      <c r="U11" s="220"/>
      <c r="V11" s="220"/>
      <c r="W11" s="234"/>
      <c r="X11" s="205"/>
      <c r="Y11" s="257"/>
      <c r="AA11" s="120"/>
      <c r="AB11" s="120"/>
      <c r="AC11" s="120"/>
      <c r="AD11" s="120"/>
      <c r="AE11" s="120"/>
      <c r="AF11" s="259"/>
    </row>
    <row r="12" ht="3" customHeight="1" spans="1:32">
      <c r="A12" s="204"/>
      <c r="B12" s="205"/>
      <c r="C12" s="206"/>
      <c r="D12" s="205"/>
      <c r="E12" s="205"/>
      <c r="F12" s="218"/>
      <c r="G12" s="221"/>
      <c r="H12" s="221"/>
      <c r="I12" s="221"/>
      <c r="J12" s="221"/>
      <c r="K12" s="205"/>
      <c r="L12" s="233"/>
      <c r="M12" s="205"/>
      <c r="N12" s="205"/>
      <c r="O12" s="207"/>
      <c r="P12" s="207"/>
      <c r="Q12" s="205"/>
      <c r="R12" s="218"/>
      <c r="S12" s="221"/>
      <c r="T12" s="221"/>
      <c r="U12" s="221"/>
      <c r="V12" s="221"/>
      <c r="W12" s="221"/>
      <c r="X12" s="205"/>
      <c r="Y12" s="257"/>
      <c r="AA12" s="120"/>
      <c r="AB12" s="120"/>
      <c r="AC12" s="120"/>
      <c r="AD12" s="120"/>
      <c r="AE12" s="120"/>
      <c r="AF12" s="259"/>
    </row>
    <row r="13" ht="15" customHeight="1" spans="1:32">
      <c r="A13" s="204"/>
      <c r="B13" s="205"/>
      <c r="C13" s="207" t="s">
        <v>25</v>
      </c>
      <c r="D13" s="207"/>
      <c r="E13" s="207"/>
      <c r="F13" s="218" t="s">
        <v>12</v>
      </c>
      <c r="G13" s="219" t="s">
        <v>26</v>
      </c>
      <c r="H13" s="220"/>
      <c r="I13" s="220"/>
      <c r="J13" s="234"/>
      <c r="K13" s="205"/>
      <c r="L13" s="233"/>
      <c r="M13" s="205"/>
      <c r="N13" s="207" t="s">
        <v>27</v>
      </c>
      <c r="O13" s="207"/>
      <c r="P13" s="207"/>
      <c r="Q13" s="205"/>
      <c r="R13" s="218" t="s">
        <v>12</v>
      </c>
      <c r="S13" s="219" t="s">
        <v>28</v>
      </c>
      <c r="T13" s="220"/>
      <c r="U13" s="220"/>
      <c r="V13" s="220"/>
      <c r="W13" s="234"/>
      <c r="X13" s="205"/>
      <c r="Y13" s="257"/>
      <c r="AA13" s="120"/>
      <c r="AB13" s="120"/>
      <c r="AC13" s="120"/>
      <c r="AD13" s="120"/>
      <c r="AE13" s="120"/>
      <c r="AF13" s="259"/>
    </row>
    <row r="14" ht="3" customHeight="1" spans="1:32">
      <c r="A14" s="204"/>
      <c r="B14" s="205"/>
      <c r="C14" s="207"/>
      <c r="D14" s="207"/>
      <c r="E14" s="207"/>
      <c r="F14" s="218"/>
      <c r="G14" s="221"/>
      <c r="H14" s="221"/>
      <c r="I14" s="221"/>
      <c r="J14" s="221"/>
      <c r="K14" s="205"/>
      <c r="L14" s="233"/>
      <c r="M14" s="205"/>
      <c r="N14" s="205"/>
      <c r="O14" s="205"/>
      <c r="P14" s="205"/>
      <c r="Q14" s="205"/>
      <c r="R14" s="218"/>
      <c r="S14" s="221"/>
      <c r="T14" s="221"/>
      <c r="U14" s="221"/>
      <c r="V14" s="221"/>
      <c r="W14" s="221"/>
      <c r="X14" s="205"/>
      <c r="Y14" s="257"/>
      <c r="AA14" s="120"/>
      <c r="AB14" s="120"/>
      <c r="AC14" s="120"/>
      <c r="AD14" s="120"/>
      <c r="AE14" s="120"/>
      <c r="AF14" s="259"/>
    </row>
    <row r="15" ht="15" customHeight="1" spans="1:32">
      <c r="A15" s="204"/>
      <c r="B15" s="205"/>
      <c r="C15" s="207" t="s">
        <v>29</v>
      </c>
      <c r="D15" s="207"/>
      <c r="E15" s="207"/>
      <c r="F15" s="218" t="s">
        <v>12</v>
      </c>
      <c r="G15" s="219" t="s">
        <v>30</v>
      </c>
      <c r="H15" s="220"/>
      <c r="I15" s="220"/>
      <c r="J15" s="234"/>
      <c r="K15" s="205"/>
      <c r="L15" s="233"/>
      <c r="M15" s="205"/>
      <c r="N15" s="207" t="s">
        <v>31</v>
      </c>
      <c r="O15" s="205"/>
      <c r="P15" s="205"/>
      <c r="Q15" s="205"/>
      <c r="R15" s="218" t="s">
        <v>12</v>
      </c>
      <c r="S15" s="242">
        <v>43647</v>
      </c>
      <c r="T15" s="243"/>
      <c r="U15" s="243"/>
      <c r="V15" s="243"/>
      <c r="W15" s="249"/>
      <c r="X15" s="205"/>
      <c r="Y15" s="257"/>
      <c r="AA15" s="120"/>
      <c r="AB15" s="120"/>
      <c r="AC15" s="120"/>
      <c r="AD15" s="120"/>
      <c r="AE15" s="120"/>
      <c r="AF15" s="259"/>
    </row>
    <row r="16" ht="3" customHeight="1" spans="1:32">
      <c r="A16" s="204"/>
      <c r="B16" s="205"/>
      <c r="C16" s="207"/>
      <c r="D16" s="207"/>
      <c r="E16" s="207"/>
      <c r="F16" s="218"/>
      <c r="G16" s="221"/>
      <c r="H16" s="221"/>
      <c r="I16" s="221"/>
      <c r="J16" s="221"/>
      <c r="K16" s="205"/>
      <c r="L16" s="233"/>
      <c r="M16" s="205"/>
      <c r="N16" s="205"/>
      <c r="O16" s="205"/>
      <c r="P16" s="205"/>
      <c r="Q16" s="205"/>
      <c r="R16" s="218"/>
      <c r="S16" s="221"/>
      <c r="T16" s="221"/>
      <c r="U16" s="221"/>
      <c r="V16" s="221"/>
      <c r="W16" s="221"/>
      <c r="X16" s="205"/>
      <c r="Y16" s="257"/>
      <c r="AA16" s="259"/>
      <c r="AB16" s="259"/>
      <c r="AC16" s="259"/>
      <c r="AD16" s="259"/>
      <c r="AE16" s="259"/>
      <c r="AF16" s="259"/>
    </row>
    <row r="17" ht="15" customHeight="1" spans="1:32">
      <c r="A17" s="204"/>
      <c r="B17" s="205"/>
      <c r="C17" s="207" t="s">
        <v>32</v>
      </c>
      <c r="D17" s="207"/>
      <c r="E17" s="207"/>
      <c r="F17" s="218" t="s">
        <v>12</v>
      </c>
      <c r="G17" s="219" t="s">
        <v>33</v>
      </c>
      <c r="H17" s="220"/>
      <c r="I17" s="220"/>
      <c r="J17" s="234"/>
      <c r="K17" s="205"/>
      <c r="L17" s="233"/>
      <c r="M17" s="205"/>
      <c r="N17" s="207" t="s">
        <v>34</v>
      </c>
      <c r="O17" s="205"/>
      <c r="P17" s="205"/>
      <c r="Q17" s="205"/>
      <c r="R17" s="218" t="s">
        <v>12</v>
      </c>
      <c r="S17" s="244" t="str">
        <f ca="1">IF(S15="","",DATEDIF(S15,$AB$6,"y")&amp;" tahun "&amp;IF(S15="","",DATEDIF(S15,$AB$6,"ym")&amp;" bulan "))</f>
        <v>4 tahun 0 bulan </v>
      </c>
      <c r="T17" s="244"/>
      <c r="U17" s="244"/>
      <c r="V17" s="244"/>
      <c r="W17" s="244"/>
      <c r="X17" s="205"/>
      <c r="Y17" s="257"/>
      <c r="AA17" s="259"/>
      <c r="AB17" s="259"/>
      <c r="AC17" s="259"/>
      <c r="AD17" s="259"/>
      <c r="AE17" s="259"/>
      <c r="AF17" s="259"/>
    </row>
    <row r="18" ht="3" customHeight="1" spans="1:32">
      <c r="A18" s="204"/>
      <c r="B18" s="205"/>
      <c r="C18" s="207"/>
      <c r="D18" s="207"/>
      <c r="E18" s="207"/>
      <c r="F18" s="218"/>
      <c r="G18" s="221"/>
      <c r="H18" s="221"/>
      <c r="I18" s="221"/>
      <c r="J18" s="221"/>
      <c r="K18" s="205"/>
      <c r="L18" s="233"/>
      <c r="M18" s="205"/>
      <c r="N18" s="205"/>
      <c r="O18" s="205"/>
      <c r="P18" s="205"/>
      <c r="Q18" s="205"/>
      <c r="R18" s="218"/>
      <c r="S18" s="221"/>
      <c r="T18" s="221"/>
      <c r="U18" s="221"/>
      <c r="V18" s="221"/>
      <c r="W18" s="221"/>
      <c r="X18" s="205"/>
      <c r="Y18" s="257"/>
      <c r="AA18" s="259"/>
      <c r="AB18" s="259"/>
      <c r="AC18" s="259"/>
      <c r="AD18" s="259"/>
      <c r="AE18" s="259"/>
      <c r="AF18" s="259"/>
    </row>
    <row r="19" ht="15" customHeight="1" spans="1:32">
      <c r="A19" s="204"/>
      <c r="B19" s="205"/>
      <c r="C19" s="207" t="s">
        <v>35</v>
      </c>
      <c r="D19" s="207"/>
      <c r="E19" s="207"/>
      <c r="F19" s="218" t="s">
        <v>12</v>
      </c>
      <c r="G19" s="219" t="s">
        <v>36</v>
      </c>
      <c r="H19" s="220"/>
      <c r="I19" s="220"/>
      <c r="J19" s="234"/>
      <c r="K19" s="205"/>
      <c r="L19" s="233"/>
      <c r="M19" s="205"/>
      <c r="N19" s="207" t="s">
        <v>37</v>
      </c>
      <c r="O19" s="205"/>
      <c r="P19" s="205"/>
      <c r="Q19" s="205"/>
      <c r="R19" s="218" t="s">
        <v>12</v>
      </c>
      <c r="S19" s="219" t="s">
        <v>38</v>
      </c>
      <c r="T19" s="220"/>
      <c r="U19" s="220"/>
      <c r="V19" s="220"/>
      <c r="W19" s="234"/>
      <c r="X19" s="205"/>
      <c r="Y19" s="257"/>
      <c r="AA19" s="259"/>
      <c r="AB19" s="259"/>
      <c r="AC19" s="259"/>
      <c r="AD19" s="259"/>
      <c r="AE19" s="259"/>
      <c r="AF19" s="259"/>
    </row>
    <row r="20" ht="3" customHeight="1" spans="1:32">
      <c r="A20" s="204"/>
      <c r="B20" s="205"/>
      <c r="C20" s="207"/>
      <c r="D20" s="207"/>
      <c r="E20" s="207"/>
      <c r="F20" s="218"/>
      <c r="G20" s="221"/>
      <c r="H20" s="221"/>
      <c r="I20" s="221"/>
      <c r="J20" s="221"/>
      <c r="K20" s="205"/>
      <c r="L20" s="233"/>
      <c r="M20" s="205"/>
      <c r="N20" s="205"/>
      <c r="O20" s="205"/>
      <c r="P20" s="205"/>
      <c r="Q20" s="205"/>
      <c r="R20" s="218"/>
      <c r="S20" s="221"/>
      <c r="T20" s="221"/>
      <c r="U20" s="221"/>
      <c r="V20" s="221"/>
      <c r="W20" s="221"/>
      <c r="X20" s="205"/>
      <c r="Y20" s="257"/>
      <c r="AA20" s="259"/>
      <c r="AB20" s="259"/>
      <c r="AC20" s="259"/>
      <c r="AD20" s="259"/>
      <c r="AE20" s="259"/>
      <c r="AF20" s="259"/>
    </row>
    <row r="21" ht="15" customHeight="1" spans="1:32">
      <c r="A21" s="204"/>
      <c r="B21" s="205"/>
      <c r="C21" s="207" t="s">
        <v>39</v>
      </c>
      <c r="D21" s="207"/>
      <c r="E21" s="207"/>
      <c r="F21" s="218" t="s">
        <v>12</v>
      </c>
      <c r="G21" s="219" t="s">
        <v>40</v>
      </c>
      <c r="H21" s="220"/>
      <c r="I21" s="220"/>
      <c r="J21" s="234"/>
      <c r="K21" s="205"/>
      <c r="L21" s="233"/>
      <c r="M21" s="205"/>
      <c r="N21" s="237" t="s">
        <v>41</v>
      </c>
      <c r="O21" s="237"/>
      <c r="P21" s="237"/>
      <c r="Q21" s="205"/>
      <c r="R21" s="218" t="s">
        <v>12</v>
      </c>
      <c r="S21" s="219" t="s">
        <v>42</v>
      </c>
      <c r="T21" s="220"/>
      <c r="U21" s="220"/>
      <c r="V21" s="220"/>
      <c r="W21" s="234"/>
      <c r="X21" s="205"/>
      <c r="Y21" s="257"/>
      <c r="Z21" s="259"/>
      <c r="AA21" s="259"/>
      <c r="AB21" s="259"/>
      <c r="AC21" s="259"/>
      <c r="AD21" s="259"/>
      <c r="AE21" s="259"/>
      <c r="AF21" s="259"/>
    </row>
    <row r="22" ht="3" customHeight="1" spans="1:32">
      <c r="A22" s="204"/>
      <c r="B22" s="205"/>
      <c r="C22" s="207"/>
      <c r="D22" s="207"/>
      <c r="E22" s="207"/>
      <c r="F22" s="218"/>
      <c r="G22" s="221"/>
      <c r="H22" s="221"/>
      <c r="I22" s="221"/>
      <c r="J22" s="221"/>
      <c r="K22" s="205"/>
      <c r="L22" s="233"/>
      <c r="M22" s="205"/>
      <c r="N22" s="205"/>
      <c r="O22" s="205"/>
      <c r="P22" s="205"/>
      <c r="Q22" s="205"/>
      <c r="R22" s="218"/>
      <c r="S22" s="221"/>
      <c r="T22" s="221"/>
      <c r="U22" s="221"/>
      <c r="V22" s="221"/>
      <c r="W22" s="221"/>
      <c r="X22" s="205"/>
      <c r="Y22" s="257"/>
      <c r="Z22" s="259"/>
      <c r="AA22" s="259"/>
      <c r="AB22" s="259"/>
      <c r="AC22" s="259"/>
      <c r="AD22" s="259"/>
      <c r="AE22" s="259"/>
      <c r="AF22" s="259"/>
    </row>
    <row r="23" ht="15" customHeight="1" spans="1:32">
      <c r="A23" s="204"/>
      <c r="B23" s="205"/>
      <c r="C23" s="207" t="s">
        <v>43</v>
      </c>
      <c r="D23" s="207"/>
      <c r="E23" s="207"/>
      <c r="F23" s="218" t="s">
        <v>12</v>
      </c>
      <c r="G23" s="219" t="s">
        <v>44</v>
      </c>
      <c r="H23" s="220"/>
      <c r="I23" s="220"/>
      <c r="J23" s="234"/>
      <c r="K23" s="205"/>
      <c r="L23" s="233"/>
      <c r="M23" s="205"/>
      <c r="N23" s="237" t="s">
        <v>45</v>
      </c>
      <c r="O23" s="237"/>
      <c r="P23" s="237"/>
      <c r="Q23" s="205"/>
      <c r="R23" s="218" t="s">
        <v>12</v>
      </c>
      <c r="S23" s="219" t="s">
        <v>46</v>
      </c>
      <c r="T23" s="220"/>
      <c r="U23" s="220"/>
      <c r="V23" s="220"/>
      <c r="W23" s="234"/>
      <c r="X23" s="205"/>
      <c r="Y23" s="257"/>
      <c r="Z23" s="252"/>
      <c r="AA23" s="252"/>
      <c r="AB23" s="252"/>
      <c r="AC23" s="252"/>
      <c r="AD23" s="252"/>
      <c r="AE23" s="252"/>
      <c r="AF23" s="252"/>
    </row>
    <row r="24" ht="15" spans="1:32">
      <c r="A24" s="208"/>
      <c r="B24" s="209"/>
      <c r="C24" s="209"/>
      <c r="D24" s="209"/>
      <c r="E24" s="209"/>
      <c r="F24" s="209"/>
      <c r="G24" s="209"/>
      <c r="H24" s="209"/>
      <c r="I24" s="209"/>
      <c r="J24" s="209"/>
      <c r="K24" s="209"/>
      <c r="L24" s="235"/>
      <c r="M24" s="209"/>
      <c r="N24" s="209"/>
      <c r="O24" s="209"/>
      <c r="P24" s="209"/>
      <c r="Q24" s="209"/>
      <c r="R24" s="209"/>
      <c r="S24" s="209"/>
      <c r="T24" s="209"/>
      <c r="U24" s="209"/>
      <c r="V24" s="209"/>
      <c r="W24" s="209"/>
      <c r="X24" s="209"/>
      <c r="Y24" s="260"/>
      <c r="Z24" s="252"/>
      <c r="AA24" s="252"/>
      <c r="AB24" s="252"/>
      <c r="AC24" s="252"/>
      <c r="AD24" s="252"/>
      <c r="AE24" s="252"/>
      <c r="AF24" s="252"/>
    </row>
    <row r="25" ht="9" customHeight="1" spans="1:32">
      <c r="A25" s="210"/>
      <c r="B25" s="211"/>
      <c r="C25" s="211"/>
      <c r="D25" s="211"/>
      <c r="E25" s="211"/>
      <c r="F25" s="211"/>
      <c r="G25" s="211"/>
      <c r="H25" s="211"/>
      <c r="I25" s="211"/>
      <c r="J25" s="211"/>
      <c r="K25" s="211"/>
      <c r="L25" s="211"/>
      <c r="M25" s="211"/>
      <c r="N25" s="211"/>
      <c r="O25" s="211"/>
      <c r="P25" s="211"/>
      <c r="Q25" s="211"/>
      <c r="R25" s="211"/>
      <c r="S25" s="211"/>
      <c r="T25" s="211"/>
      <c r="U25" s="211"/>
      <c r="V25" s="211"/>
      <c r="W25" s="211"/>
      <c r="X25" s="211"/>
      <c r="Y25" s="261"/>
      <c r="Z25" s="252"/>
      <c r="AA25" s="252"/>
      <c r="AB25" s="252" t="s">
        <v>28</v>
      </c>
      <c r="AC25" s="252"/>
      <c r="AD25" s="252"/>
      <c r="AE25" s="252"/>
      <c r="AF25" s="252"/>
    </row>
    <row r="26" ht="30.75" spans="1:32">
      <c r="A26" s="210"/>
      <c r="B26" s="212" t="s">
        <v>47</v>
      </c>
      <c r="C26" s="213"/>
      <c r="D26" s="213"/>
      <c r="E26" s="213"/>
      <c r="F26" s="213"/>
      <c r="G26" s="213"/>
      <c r="H26" s="213"/>
      <c r="I26" s="213"/>
      <c r="J26" s="213"/>
      <c r="K26" s="213"/>
      <c r="L26" s="213"/>
      <c r="M26" s="213"/>
      <c r="N26" s="213"/>
      <c r="O26" s="213"/>
      <c r="P26" s="213"/>
      <c r="Q26" s="213"/>
      <c r="R26" s="213"/>
      <c r="S26" s="213"/>
      <c r="T26" s="213"/>
      <c r="U26" s="213"/>
      <c r="V26" s="213"/>
      <c r="W26" s="213"/>
      <c r="X26" s="250"/>
      <c r="Y26" s="261"/>
      <c r="Z26" s="252"/>
      <c r="AA26" s="252" t="s">
        <v>48</v>
      </c>
      <c r="AB26" s="252" t="s">
        <v>49</v>
      </c>
      <c r="AC26" s="252"/>
      <c r="AD26" s="252"/>
      <c r="AE26" s="252"/>
      <c r="AF26" s="252"/>
    </row>
    <row r="27" spans="1:32">
      <c r="A27" s="210"/>
      <c r="B27" s="211"/>
      <c r="C27" s="211"/>
      <c r="D27" s="211"/>
      <c r="E27" s="211"/>
      <c r="F27" s="211"/>
      <c r="G27" s="211"/>
      <c r="H27" s="211"/>
      <c r="I27" s="211"/>
      <c r="J27" s="211"/>
      <c r="K27" s="211"/>
      <c r="L27" s="211"/>
      <c r="M27" s="211"/>
      <c r="N27" s="211"/>
      <c r="O27" s="211"/>
      <c r="P27" s="211"/>
      <c r="Q27" s="211"/>
      <c r="R27" s="211"/>
      <c r="S27" s="211"/>
      <c r="T27" s="211"/>
      <c r="U27" s="211"/>
      <c r="V27" s="211"/>
      <c r="W27" s="211"/>
      <c r="X27" s="211"/>
      <c r="Y27" s="261"/>
      <c r="Z27" s="252"/>
      <c r="AA27" s="252" t="s">
        <v>38</v>
      </c>
      <c r="AB27" s="252" t="s">
        <v>50</v>
      </c>
      <c r="AC27" s="252"/>
      <c r="AD27" s="252"/>
      <c r="AE27" s="252"/>
      <c r="AF27" s="252"/>
    </row>
    <row r="28" spans="1:32">
      <c r="A28" s="210"/>
      <c r="B28" s="211"/>
      <c r="C28" s="211"/>
      <c r="D28" s="211"/>
      <c r="E28" s="211"/>
      <c r="F28" s="211"/>
      <c r="G28" s="211"/>
      <c r="H28" s="211"/>
      <c r="I28" s="211"/>
      <c r="J28" s="211"/>
      <c r="K28" s="211"/>
      <c r="L28" s="211"/>
      <c r="M28" s="211"/>
      <c r="N28" s="211"/>
      <c r="O28" s="211"/>
      <c r="P28" s="211"/>
      <c r="Q28" s="211"/>
      <c r="R28" s="211"/>
      <c r="S28" s="211"/>
      <c r="T28" s="211"/>
      <c r="U28" s="211"/>
      <c r="V28" s="211"/>
      <c r="W28" s="211"/>
      <c r="X28" s="211"/>
      <c r="Y28" s="261"/>
      <c r="Z28" s="252"/>
      <c r="AA28" s="252"/>
      <c r="AB28" s="252" t="s">
        <v>51</v>
      </c>
      <c r="AC28" s="252"/>
      <c r="AD28" s="252"/>
      <c r="AE28" s="252"/>
      <c r="AF28" s="252"/>
    </row>
    <row r="29" spans="1:32">
      <c r="A29" s="210"/>
      <c r="B29" s="211"/>
      <c r="C29" s="211"/>
      <c r="D29" s="211"/>
      <c r="E29" s="211"/>
      <c r="F29" s="211"/>
      <c r="G29" s="211"/>
      <c r="H29" s="211"/>
      <c r="I29" s="211"/>
      <c r="J29" s="211"/>
      <c r="K29" s="211"/>
      <c r="L29" s="211"/>
      <c r="M29" s="211"/>
      <c r="N29" s="211"/>
      <c r="O29" s="211"/>
      <c r="P29" s="211"/>
      <c r="Q29" s="211"/>
      <c r="R29" s="211"/>
      <c r="S29" s="211"/>
      <c r="T29" s="211"/>
      <c r="U29" s="211"/>
      <c r="V29" s="211"/>
      <c r="W29" s="211"/>
      <c r="X29" s="211"/>
      <c r="Y29" s="261"/>
      <c r="Z29" s="252"/>
      <c r="AA29" s="252"/>
      <c r="AB29" s="252" t="s">
        <v>52</v>
      </c>
      <c r="AC29" s="252"/>
      <c r="AD29" s="252"/>
      <c r="AE29" s="252"/>
      <c r="AF29" s="252"/>
    </row>
    <row r="30" spans="1:32">
      <c r="A30" s="210"/>
      <c r="B30" s="211"/>
      <c r="C30" s="211"/>
      <c r="D30" s="211"/>
      <c r="E30" s="211"/>
      <c r="F30" s="211"/>
      <c r="G30" s="211"/>
      <c r="H30" s="211"/>
      <c r="I30" s="211"/>
      <c r="J30" s="211"/>
      <c r="K30" s="211"/>
      <c r="L30" s="211"/>
      <c r="M30" s="211"/>
      <c r="N30" s="211"/>
      <c r="O30" s="211"/>
      <c r="P30" s="211"/>
      <c r="Q30" s="211"/>
      <c r="R30" s="211"/>
      <c r="S30" s="211"/>
      <c r="T30" s="211"/>
      <c r="U30" s="211"/>
      <c r="V30" s="211"/>
      <c r="W30" s="211"/>
      <c r="X30" s="211"/>
      <c r="Y30" s="261"/>
      <c r="Z30" s="252"/>
      <c r="AA30" s="252"/>
      <c r="AB30" s="252" t="s">
        <v>53</v>
      </c>
      <c r="AC30" s="252"/>
      <c r="AD30" s="252"/>
      <c r="AE30" s="252"/>
      <c r="AF30" s="252"/>
    </row>
    <row r="31" spans="1:32">
      <c r="A31" s="210"/>
      <c r="B31" s="211"/>
      <c r="C31" s="211"/>
      <c r="D31" s="211"/>
      <c r="E31" s="211"/>
      <c r="F31" s="211"/>
      <c r="G31" s="211"/>
      <c r="H31" s="211"/>
      <c r="I31" s="211"/>
      <c r="J31" s="211"/>
      <c r="K31" s="211"/>
      <c r="L31" s="211"/>
      <c r="M31" s="211"/>
      <c r="N31" s="211"/>
      <c r="O31" s="211"/>
      <c r="P31" s="211"/>
      <c r="Q31" s="211"/>
      <c r="R31" s="211"/>
      <c r="S31" s="211"/>
      <c r="T31" s="211"/>
      <c r="U31" s="211"/>
      <c r="V31" s="211"/>
      <c r="W31" s="211"/>
      <c r="X31" s="211"/>
      <c r="Y31" s="261"/>
      <c r="Z31" s="252"/>
      <c r="AA31" s="252"/>
      <c r="AB31" s="252" t="s">
        <v>54</v>
      </c>
      <c r="AC31" s="252"/>
      <c r="AD31" s="252"/>
      <c r="AE31" s="252"/>
      <c r="AF31" s="252"/>
    </row>
    <row r="32" spans="1:32">
      <c r="A32" s="210"/>
      <c r="B32" s="211"/>
      <c r="C32" s="211"/>
      <c r="D32" s="211"/>
      <c r="E32" s="211"/>
      <c r="F32" s="211"/>
      <c r="G32" s="211"/>
      <c r="H32" s="211"/>
      <c r="I32" s="211"/>
      <c r="J32" s="211"/>
      <c r="K32" s="211"/>
      <c r="L32" s="211"/>
      <c r="M32" s="211"/>
      <c r="N32" s="211"/>
      <c r="O32" s="211"/>
      <c r="P32" s="211"/>
      <c r="Q32" s="211"/>
      <c r="R32" s="211"/>
      <c r="S32" s="211"/>
      <c r="T32" s="211"/>
      <c r="U32" s="211"/>
      <c r="V32" s="211"/>
      <c r="W32" s="211"/>
      <c r="X32" s="211"/>
      <c r="Y32" s="261"/>
      <c r="Z32" s="252"/>
      <c r="AA32" s="252"/>
      <c r="AB32" s="252" t="s">
        <v>55</v>
      </c>
      <c r="AC32" s="252"/>
      <c r="AD32" s="252"/>
      <c r="AE32" s="252"/>
      <c r="AF32" s="252"/>
    </row>
    <row r="33" spans="1:32">
      <c r="A33" s="210"/>
      <c r="B33" s="211"/>
      <c r="C33" s="211"/>
      <c r="D33" s="211"/>
      <c r="E33" s="211"/>
      <c r="F33" s="211"/>
      <c r="G33" s="211"/>
      <c r="H33" s="211"/>
      <c r="I33" s="211"/>
      <c r="J33" s="211"/>
      <c r="K33" s="211"/>
      <c r="L33" s="211"/>
      <c r="M33" s="211"/>
      <c r="N33" s="211"/>
      <c r="O33" s="211"/>
      <c r="P33" s="211"/>
      <c r="Q33" s="211"/>
      <c r="R33" s="211"/>
      <c r="S33" s="211"/>
      <c r="T33" s="211"/>
      <c r="U33" s="211"/>
      <c r="V33" s="211"/>
      <c r="W33" s="211"/>
      <c r="X33" s="211"/>
      <c r="Y33" s="261"/>
      <c r="Z33" s="252"/>
      <c r="AA33" s="252"/>
      <c r="AB33" s="252" t="s">
        <v>56</v>
      </c>
      <c r="AC33" s="252"/>
      <c r="AD33" s="252"/>
      <c r="AE33" s="252"/>
      <c r="AF33" s="252"/>
    </row>
    <row r="34" spans="1:32">
      <c r="A34" s="210"/>
      <c r="B34" s="211"/>
      <c r="C34" s="211"/>
      <c r="D34" s="211"/>
      <c r="E34" s="211"/>
      <c r="F34" s="211"/>
      <c r="G34" s="211"/>
      <c r="H34" s="211"/>
      <c r="I34" s="211"/>
      <c r="J34" s="211"/>
      <c r="K34" s="211"/>
      <c r="L34" s="211"/>
      <c r="M34" s="211"/>
      <c r="N34" s="211"/>
      <c r="O34" s="211"/>
      <c r="P34" s="211"/>
      <c r="Q34" s="211"/>
      <c r="R34" s="211"/>
      <c r="S34" s="211"/>
      <c r="T34" s="211"/>
      <c r="U34" s="211"/>
      <c r="V34" s="211"/>
      <c r="W34" s="211"/>
      <c r="X34" s="211"/>
      <c r="Y34" s="261"/>
      <c r="Z34" s="252"/>
      <c r="AA34" s="252"/>
      <c r="AB34" s="252"/>
      <c r="AC34" s="252"/>
      <c r="AD34" s="252"/>
      <c r="AE34" s="252"/>
      <c r="AF34" s="252"/>
    </row>
    <row r="35" spans="1:32">
      <c r="A35" s="210"/>
      <c r="B35" s="211"/>
      <c r="C35" s="214" t="s">
        <v>57</v>
      </c>
      <c r="D35" s="211"/>
      <c r="E35" s="211"/>
      <c r="F35" s="222" t="s">
        <v>12</v>
      </c>
      <c r="G35" s="219" t="s">
        <v>58</v>
      </c>
      <c r="H35" s="220"/>
      <c r="I35" s="220"/>
      <c r="J35" s="234"/>
      <c r="K35" s="211"/>
      <c r="L35" s="211"/>
      <c r="M35" s="211"/>
      <c r="N35" s="211"/>
      <c r="O35" s="211"/>
      <c r="P35" s="211"/>
      <c r="Q35" s="211"/>
      <c r="R35" s="211"/>
      <c r="S35" s="211"/>
      <c r="T35" s="211"/>
      <c r="U35" s="211"/>
      <c r="V35" s="211"/>
      <c r="W35" s="211"/>
      <c r="X35" s="211"/>
      <c r="Y35" s="261"/>
      <c r="Z35" s="252"/>
      <c r="AA35" s="252"/>
      <c r="AB35" s="252"/>
      <c r="AC35" s="252"/>
      <c r="AD35" s="252"/>
      <c r="AE35" s="252"/>
      <c r="AF35" s="252"/>
    </row>
    <row r="36" ht="3" customHeight="1" spans="1:32">
      <c r="A36" s="210"/>
      <c r="B36" s="211"/>
      <c r="C36" s="214"/>
      <c r="D36" s="211"/>
      <c r="E36" s="211"/>
      <c r="F36" s="222"/>
      <c r="G36" s="223"/>
      <c r="H36" s="223"/>
      <c r="I36" s="223"/>
      <c r="J36" s="223"/>
      <c r="K36" s="211"/>
      <c r="L36" s="211"/>
      <c r="M36" s="211"/>
      <c r="N36" s="211"/>
      <c r="O36" s="211"/>
      <c r="P36" s="211"/>
      <c r="Q36" s="211"/>
      <c r="R36" s="211"/>
      <c r="S36" s="211"/>
      <c r="T36" s="211"/>
      <c r="U36" s="211"/>
      <c r="V36" s="211"/>
      <c r="W36" s="211"/>
      <c r="X36" s="211"/>
      <c r="Y36" s="261"/>
      <c r="Z36" s="252"/>
      <c r="AA36" s="252"/>
      <c r="AB36" s="252"/>
      <c r="AC36" s="252"/>
      <c r="AD36" s="252"/>
      <c r="AE36" s="252"/>
      <c r="AF36" s="252"/>
    </row>
    <row r="37" spans="1:32">
      <c r="A37" s="210"/>
      <c r="B37" s="211"/>
      <c r="C37" s="214" t="s">
        <v>59</v>
      </c>
      <c r="D37" s="211"/>
      <c r="E37" s="211"/>
      <c r="F37" s="222" t="s">
        <v>12</v>
      </c>
      <c r="G37" s="266" t="s">
        <v>22</v>
      </c>
      <c r="H37" s="220"/>
      <c r="I37" s="220"/>
      <c r="J37" s="234"/>
      <c r="K37" s="211"/>
      <c r="L37" s="211"/>
      <c r="M37" s="211"/>
      <c r="N37" s="211"/>
      <c r="O37" s="211"/>
      <c r="P37" s="211"/>
      <c r="Q37" s="211"/>
      <c r="R37" s="211"/>
      <c r="S37" s="211"/>
      <c r="T37" s="211"/>
      <c r="U37" s="211"/>
      <c r="V37" s="211"/>
      <c r="W37" s="211"/>
      <c r="X37" s="211"/>
      <c r="Y37" s="261"/>
      <c r="Z37" s="252"/>
      <c r="AA37" s="252"/>
      <c r="AB37" s="252"/>
      <c r="AC37" s="252"/>
      <c r="AD37" s="252"/>
      <c r="AE37" s="252"/>
      <c r="AF37" s="252"/>
    </row>
    <row r="38" ht="3" customHeight="1" spans="1:32">
      <c r="A38" s="210"/>
      <c r="B38" s="211"/>
      <c r="C38" s="211"/>
      <c r="D38" s="211"/>
      <c r="E38" s="211"/>
      <c r="F38" s="224"/>
      <c r="G38" s="211"/>
      <c r="H38" s="211"/>
      <c r="I38" s="211"/>
      <c r="J38" s="211"/>
      <c r="K38" s="211"/>
      <c r="L38" s="211"/>
      <c r="M38" s="211"/>
      <c r="N38" s="211"/>
      <c r="O38" s="211"/>
      <c r="P38" s="211"/>
      <c r="Q38" s="211"/>
      <c r="R38" s="211"/>
      <c r="S38" s="211"/>
      <c r="T38" s="211"/>
      <c r="U38" s="211"/>
      <c r="V38" s="211"/>
      <c r="W38" s="211"/>
      <c r="X38" s="211"/>
      <c r="Y38" s="261"/>
      <c r="Z38" s="252"/>
      <c r="AA38" s="252"/>
      <c r="AB38" s="252"/>
      <c r="AC38" s="252"/>
      <c r="AD38" s="252"/>
      <c r="AE38" s="252"/>
      <c r="AF38" s="252"/>
    </row>
    <row r="39" spans="1:32">
      <c r="A39" s="210"/>
      <c r="B39" s="211"/>
      <c r="C39" s="215" t="s">
        <v>60</v>
      </c>
      <c r="D39" s="211"/>
      <c r="E39" s="211"/>
      <c r="F39" s="225" t="s">
        <v>12</v>
      </c>
      <c r="G39" s="226" t="s">
        <v>61</v>
      </c>
      <c r="H39" s="226"/>
      <c r="I39" s="226"/>
      <c r="J39" s="226"/>
      <c r="K39" s="211"/>
      <c r="L39" s="211"/>
      <c r="M39" s="211"/>
      <c r="N39" s="211"/>
      <c r="O39" s="211"/>
      <c r="P39" s="211"/>
      <c r="Q39" s="211"/>
      <c r="R39" s="211"/>
      <c r="S39" s="211"/>
      <c r="T39" s="211"/>
      <c r="U39" s="211"/>
      <c r="V39" s="211"/>
      <c r="W39" s="211"/>
      <c r="X39" s="211"/>
      <c r="Y39" s="261"/>
      <c r="Z39" s="259"/>
      <c r="AA39" s="259"/>
      <c r="AB39" s="259"/>
      <c r="AC39" s="259"/>
      <c r="AD39" s="259"/>
      <c r="AE39" s="259"/>
      <c r="AF39" s="259"/>
    </row>
    <row r="40" ht="15" spans="1:32">
      <c r="A40" s="216"/>
      <c r="B40" s="197"/>
      <c r="C40" s="197"/>
      <c r="D40" s="197"/>
      <c r="E40" s="197"/>
      <c r="F40" s="197"/>
      <c r="G40" s="197"/>
      <c r="H40" s="197"/>
      <c r="I40" s="197"/>
      <c r="J40" s="197"/>
      <c r="K40" s="197"/>
      <c r="L40" s="197"/>
      <c r="M40" s="197"/>
      <c r="N40" s="197"/>
      <c r="O40" s="197"/>
      <c r="P40" s="197"/>
      <c r="Q40" s="197"/>
      <c r="R40" s="197"/>
      <c r="S40" s="197"/>
      <c r="T40" s="197"/>
      <c r="U40" s="197"/>
      <c r="V40" s="197"/>
      <c r="W40" s="197"/>
      <c r="X40" s="197"/>
      <c r="Y40" s="262"/>
      <c r="Z40" s="259"/>
      <c r="AA40" s="259"/>
      <c r="AB40" s="259"/>
      <c r="AC40" s="259"/>
      <c r="AD40" s="259"/>
      <c r="AE40" s="259"/>
      <c r="AF40" s="259"/>
    </row>
    <row r="41" spans="26:32">
      <c r="Z41" s="259"/>
      <c r="AA41" s="259"/>
      <c r="AB41" s="259"/>
      <c r="AC41" s="259"/>
      <c r="AD41" s="259"/>
      <c r="AE41" s="259"/>
      <c r="AF41" s="259"/>
    </row>
    <row r="42" spans="26:32">
      <c r="Z42" s="259"/>
      <c r="AA42" s="259"/>
      <c r="AB42" s="259"/>
      <c r="AC42" s="259"/>
      <c r="AD42" s="259"/>
      <c r="AE42" s="259"/>
      <c r="AF42" s="259"/>
    </row>
    <row r="43" spans="26:32">
      <c r="Z43" s="259"/>
      <c r="AA43" s="259"/>
      <c r="AB43" s="259"/>
      <c r="AC43" s="259"/>
      <c r="AD43" s="259"/>
      <c r="AE43" s="259"/>
      <c r="AF43" s="259"/>
    </row>
    <row r="44" spans="26:32">
      <c r="Z44" s="259"/>
      <c r="AA44" s="259"/>
      <c r="AB44" s="259"/>
      <c r="AC44" s="259"/>
      <c r="AD44" s="259"/>
      <c r="AE44" s="259"/>
      <c r="AF44" s="259"/>
    </row>
  </sheetData>
  <sheetProtection password="CEC8" sheet="1" objects="1" scenarios="1"/>
  <mergeCells count="33">
    <mergeCell ref="A1:Y1"/>
    <mergeCell ref="AA1:AD1"/>
    <mergeCell ref="E2:G2"/>
    <mergeCell ref="L2:Q2"/>
    <mergeCell ref="V2:W2"/>
    <mergeCell ref="B3:J3"/>
    <mergeCell ref="N3:X3"/>
    <mergeCell ref="S5:W5"/>
    <mergeCell ref="AB6:AC6"/>
    <mergeCell ref="G7:J7"/>
    <mergeCell ref="S7:W7"/>
    <mergeCell ref="G9:J9"/>
    <mergeCell ref="S9:U9"/>
    <mergeCell ref="G11:J11"/>
    <mergeCell ref="S11:W11"/>
    <mergeCell ref="G13:J13"/>
    <mergeCell ref="S13:W13"/>
    <mergeCell ref="G15:J15"/>
    <mergeCell ref="S15:W15"/>
    <mergeCell ref="G17:J17"/>
    <mergeCell ref="S17:W17"/>
    <mergeCell ref="G19:J19"/>
    <mergeCell ref="S19:W19"/>
    <mergeCell ref="G21:J21"/>
    <mergeCell ref="N21:P21"/>
    <mergeCell ref="S21:W21"/>
    <mergeCell ref="G23:J23"/>
    <mergeCell ref="N23:P23"/>
    <mergeCell ref="S23:W23"/>
    <mergeCell ref="B26:X26"/>
    <mergeCell ref="G35:J35"/>
    <mergeCell ref="G37:J37"/>
    <mergeCell ref="G39:J39"/>
  </mergeCells>
  <dataValidations count="2">
    <dataValidation type="list" allowBlank="1" showInputMessage="1" showErrorMessage="1" errorTitle="S A L A H" error="Maaf, salah input !!!" prompt="Pilih Jenis Kelamin" sqref="S19:W19">
      <formula1>$AA$26:$AA$27</formula1>
    </dataValidation>
    <dataValidation type="list" allowBlank="1" showInputMessage="1" showErrorMessage="1" prompt="Pilihlah Pagol seperti pada list" sqref="S13:W13">
      <formula1>$AB$25:$AB$33</formula1>
    </dataValidation>
  </dataValidations>
  <pageMargins left="0.7" right="0.7" top="0.75" bottom="0.75" header="0.3" footer="0.3"/>
  <pageSetup paperSize="9" orientation="portrait"/>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I41"/>
  <sheetViews>
    <sheetView showGridLines="0" view="pageBreakPreview" zoomScale="115" zoomScaleNormal="100" workbookViewId="0">
      <selection activeCell="L37" sqref="L37"/>
    </sheetView>
  </sheetViews>
  <sheetFormatPr defaultColWidth="9" defaultRowHeight="14.25"/>
  <sheetData>
    <row r="1" spans="1:9">
      <c r="A1" s="168"/>
      <c r="B1" s="169"/>
      <c r="C1" s="169"/>
      <c r="D1" s="169"/>
      <c r="E1" s="169"/>
      <c r="F1" s="169"/>
      <c r="G1" s="169"/>
      <c r="H1" s="169"/>
      <c r="I1" s="186"/>
    </row>
    <row r="2" spans="1:9">
      <c r="A2" s="170"/>
      <c r="B2" s="171"/>
      <c r="C2" s="171"/>
      <c r="D2" s="171"/>
      <c r="E2" s="171"/>
      <c r="F2" s="171"/>
      <c r="G2" s="171"/>
      <c r="H2" s="171"/>
      <c r="I2" s="187"/>
    </row>
    <row r="3" ht="39" spans="1:9">
      <c r="A3" s="172" t="s">
        <v>62</v>
      </c>
      <c r="B3" s="173"/>
      <c r="C3" s="173"/>
      <c r="D3" s="173"/>
      <c r="E3" s="173"/>
      <c r="F3" s="173"/>
      <c r="G3" s="173"/>
      <c r="H3" s="173"/>
      <c r="I3" s="188"/>
    </row>
    <row r="4" ht="33" spans="1:9">
      <c r="A4" s="174" t="s">
        <v>63</v>
      </c>
      <c r="B4" s="175"/>
      <c r="C4" s="175"/>
      <c r="D4" s="175"/>
      <c r="E4" s="175"/>
      <c r="F4" s="175"/>
      <c r="G4" s="175"/>
      <c r="H4" s="175"/>
      <c r="I4" s="189"/>
    </row>
    <row r="5" ht="66" spans="1:9">
      <c r="A5" s="176" t="s">
        <v>64</v>
      </c>
      <c r="B5" s="177"/>
      <c r="C5" s="177"/>
      <c r="D5" s="177"/>
      <c r="E5" s="177"/>
      <c r="F5" s="177"/>
      <c r="G5" s="177"/>
      <c r="H5" s="177"/>
      <c r="I5" s="190"/>
    </row>
    <row r="6" spans="1:9">
      <c r="A6" s="170"/>
      <c r="B6" s="171"/>
      <c r="C6" s="171"/>
      <c r="D6" s="171"/>
      <c r="E6" s="171"/>
      <c r="F6" s="171"/>
      <c r="G6" s="171"/>
      <c r="H6" s="171"/>
      <c r="I6" s="187"/>
    </row>
    <row r="7" spans="1:9">
      <c r="A7" s="170"/>
      <c r="B7" s="171"/>
      <c r="C7" s="171"/>
      <c r="D7" s="171"/>
      <c r="E7" s="171"/>
      <c r="F7" s="171"/>
      <c r="G7" s="171"/>
      <c r="H7" s="171"/>
      <c r="I7" s="187"/>
    </row>
    <row r="8" spans="1:9">
      <c r="A8" s="170"/>
      <c r="B8" s="171"/>
      <c r="C8" s="171"/>
      <c r="D8" s="171"/>
      <c r="E8" s="171"/>
      <c r="F8" s="171"/>
      <c r="G8" s="171"/>
      <c r="H8" s="171"/>
      <c r="I8" s="187"/>
    </row>
    <row r="9" spans="1:9">
      <c r="A9" s="170"/>
      <c r="B9" s="171"/>
      <c r="C9" s="171"/>
      <c r="D9" s="171"/>
      <c r="E9" s="171"/>
      <c r="F9" s="171"/>
      <c r="G9" s="171"/>
      <c r="H9" s="171"/>
      <c r="I9" s="187"/>
    </row>
    <row r="10" spans="1:9">
      <c r="A10" s="170"/>
      <c r="B10" s="171"/>
      <c r="C10" s="171"/>
      <c r="D10" s="171"/>
      <c r="E10" s="171"/>
      <c r="F10" s="171"/>
      <c r="G10" s="171"/>
      <c r="H10" s="171"/>
      <c r="I10" s="187"/>
    </row>
    <row r="11" spans="1:9">
      <c r="A11" s="170"/>
      <c r="B11" s="171"/>
      <c r="C11" s="171"/>
      <c r="D11" s="171"/>
      <c r="E11" s="171"/>
      <c r="F11" s="171"/>
      <c r="G11" s="171"/>
      <c r="H11" s="171"/>
      <c r="I11" s="187"/>
    </row>
    <row r="12" spans="1:9">
      <c r="A12" s="170"/>
      <c r="B12" s="171"/>
      <c r="C12" s="171"/>
      <c r="D12" s="171"/>
      <c r="E12" s="171"/>
      <c r="F12" s="171"/>
      <c r="G12" s="171"/>
      <c r="H12" s="171"/>
      <c r="I12" s="187"/>
    </row>
    <row r="13" spans="1:9">
      <c r="A13" s="170"/>
      <c r="B13" s="171"/>
      <c r="C13" s="171"/>
      <c r="D13" s="171"/>
      <c r="E13" s="171"/>
      <c r="F13" s="171"/>
      <c r="G13" s="171"/>
      <c r="H13" s="171"/>
      <c r="I13" s="187"/>
    </row>
    <row r="14" spans="1:9">
      <c r="A14" s="170"/>
      <c r="B14" s="171"/>
      <c r="C14" s="171"/>
      <c r="D14" s="171"/>
      <c r="E14" s="171"/>
      <c r="F14" s="171"/>
      <c r="G14" s="171"/>
      <c r="H14" s="171"/>
      <c r="I14" s="187"/>
    </row>
    <row r="15" spans="1:9">
      <c r="A15" s="170"/>
      <c r="B15" s="171"/>
      <c r="C15" s="171"/>
      <c r="D15" s="171"/>
      <c r="E15" s="171"/>
      <c r="F15" s="171"/>
      <c r="G15" s="171"/>
      <c r="H15" s="171"/>
      <c r="I15" s="187"/>
    </row>
    <row r="16" spans="1:9">
      <c r="A16" s="170"/>
      <c r="B16" s="171"/>
      <c r="C16" s="171"/>
      <c r="D16" s="171"/>
      <c r="E16" s="171"/>
      <c r="F16" s="171"/>
      <c r="G16" s="171"/>
      <c r="H16" s="171"/>
      <c r="I16" s="187"/>
    </row>
    <row r="17" spans="1:9">
      <c r="A17" s="170"/>
      <c r="B17" s="171"/>
      <c r="C17" s="171"/>
      <c r="D17" s="171"/>
      <c r="E17" s="171"/>
      <c r="F17" s="171"/>
      <c r="G17" s="171"/>
      <c r="H17" s="171"/>
      <c r="I17" s="187"/>
    </row>
    <row r="18" spans="1:9">
      <c r="A18" s="170"/>
      <c r="B18" s="171"/>
      <c r="C18" s="171"/>
      <c r="D18" s="171"/>
      <c r="E18" s="171"/>
      <c r="F18" s="171"/>
      <c r="G18" s="171"/>
      <c r="H18" s="171"/>
      <c r="I18" s="187"/>
    </row>
    <row r="19" spans="1:9">
      <c r="A19" s="170"/>
      <c r="B19" s="171"/>
      <c r="C19" s="171"/>
      <c r="D19" s="171"/>
      <c r="E19" s="171"/>
      <c r="F19" s="171"/>
      <c r="G19" s="171"/>
      <c r="H19" s="171"/>
      <c r="I19" s="187"/>
    </row>
    <row r="20" spans="1:9">
      <c r="A20" s="170"/>
      <c r="B20" s="171"/>
      <c r="C20" s="171"/>
      <c r="D20" s="171"/>
      <c r="E20" s="171"/>
      <c r="F20" s="171"/>
      <c r="G20" s="171"/>
      <c r="H20" s="171"/>
      <c r="I20" s="187"/>
    </row>
    <row r="21" spans="1:9">
      <c r="A21" s="170"/>
      <c r="B21" s="171"/>
      <c r="C21" s="171"/>
      <c r="D21" s="171"/>
      <c r="E21" s="171"/>
      <c r="F21" s="171"/>
      <c r="G21" s="171"/>
      <c r="H21" s="171"/>
      <c r="I21" s="187"/>
    </row>
    <row r="22" spans="1:9">
      <c r="A22" s="170"/>
      <c r="I22" s="187"/>
    </row>
    <row r="23" spans="1:9">
      <c r="A23" s="170"/>
      <c r="I23" s="187"/>
    </row>
    <row r="24" spans="1:9">
      <c r="A24" s="170"/>
      <c r="I24" s="187"/>
    </row>
    <row r="25" ht="23.25" spans="1:9">
      <c r="A25" s="170"/>
      <c r="B25" s="178" t="s">
        <v>65</v>
      </c>
      <c r="C25" s="171"/>
      <c r="D25" s="179" t="str">
        <f>": "&amp;+IF(IDENTITAS!S7="","",IF(IDENTITAS!S7=IDENTITAS!S7,IDENTITAS!S7))</f>
        <v>: KHARISMA MEI RESIWATI, S.Pd.</v>
      </c>
      <c r="E25" s="185"/>
      <c r="F25" s="185"/>
      <c r="G25" s="185"/>
      <c r="H25" s="185"/>
      <c r="I25" s="187"/>
    </row>
    <row r="26" ht="22.5" spans="1:9">
      <c r="A26" s="170"/>
      <c r="B26" s="178"/>
      <c r="C26" s="171"/>
      <c r="D26" s="178"/>
      <c r="E26" s="171"/>
      <c r="F26" s="171"/>
      <c r="G26" s="171"/>
      <c r="H26" s="171"/>
      <c r="I26" s="187"/>
    </row>
    <row r="27" ht="23.25" spans="1:9">
      <c r="A27" s="170"/>
      <c r="B27" s="178" t="s">
        <v>66</v>
      </c>
      <c r="C27" s="171"/>
      <c r="D27" s="179" t="str">
        <f>": "&amp;+IF(IDENTITAS!S9="","",IF(IDENTITAS!S9=IDENTITAS!S9,IDENTITAS!S9))</f>
        <v>: </v>
      </c>
      <c r="E27" s="185"/>
      <c r="F27" s="185"/>
      <c r="G27" s="185"/>
      <c r="H27" s="185"/>
      <c r="I27" s="187"/>
    </row>
    <row r="28" spans="1:9">
      <c r="A28" s="170"/>
      <c r="B28" s="171"/>
      <c r="C28" s="171"/>
      <c r="D28" s="171"/>
      <c r="E28" s="171"/>
      <c r="F28" s="171"/>
      <c r="G28" s="171"/>
      <c r="H28" s="171"/>
      <c r="I28" s="187"/>
    </row>
    <row r="29" spans="1:9">
      <c r="A29" s="170"/>
      <c r="B29" s="171"/>
      <c r="C29" s="171"/>
      <c r="D29" s="171"/>
      <c r="E29" s="171"/>
      <c r="F29" s="171"/>
      <c r="G29" s="171"/>
      <c r="H29" s="171"/>
      <c r="I29" s="187"/>
    </row>
    <row r="30" spans="1:9">
      <c r="A30" s="170"/>
      <c r="B30" s="171"/>
      <c r="C30" s="171"/>
      <c r="D30" s="171"/>
      <c r="E30" s="171"/>
      <c r="F30" s="171"/>
      <c r="G30" s="171"/>
      <c r="H30" s="171"/>
      <c r="I30" s="187"/>
    </row>
    <row r="31" spans="1:9">
      <c r="A31" s="170"/>
      <c r="B31" s="171"/>
      <c r="C31" s="171"/>
      <c r="D31" s="171"/>
      <c r="E31" s="171"/>
      <c r="F31" s="171"/>
      <c r="G31" s="171"/>
      <c r="H31" s="171"/>
      <c r="I31" s="187"/>
    </row>
    <row r="32" spans="1:9">
      <c r="A32" s="170"/>
      <c r="B32" s="171"/>
      <c r="C32" s="171"/>
      <c r="D32" s="171"/>
      <c r="E32" s="171"/>
      <c r="F32" s="171"/>
      <c r="G32" s="171"/>
      <c r="H32" s="171"/>
      <c r="I32" s="187"/>
    </row>
    <row r="33" spans="1:9">
      <c r="A33" s="170"/>
      <c r="B33" s="171"/>
      <c r="C33" s="171"/>
      <c r="D33" s="171"/>
      <c r="E33" s="171"/>
      <c r="F33" s="171"/>
      <c r="G33" s="171"/>
      <c r="H33" s="171"/>
      <c r="I33" s="187"/>
    </row>
    <row r="34" spans="1:9">
      <c r="A34" s="170"/>
      <c r="B34" s="171"/>
      <c r="C34" s="171"/>
      <c r="D34" s="171"/>
      <c r="E34" s="171"/>
      <c r="F34" s="171"/>
      <c r="G34" s="171"/>
      <c r="H34" s="171"/>
      <c r="I34" s="187"/>
    </row>
    <row r="35" spans="1:9">
      <c r="A35" s="170"/>
      <c r="B35" s="171"/>
      <c r="C35" s="171"/>
      <c r="D35" s="171"/>
      <c r="E35" s="171"/>
      <c r="F35" s="171"/>
      <c r="G35" s="171"/>
      <c r="H35" s="171"/>
      <c r="I35" s="187"/>
    </row>
    <row r="36" spans="1:9">
      <c r="A36" s="170"/>
      <c r="B36" s="171"/>
      <c r="C36" s="171"/>
      <c r="D36" s="171"/>
      <c r="E36" s="171"/>
      <c r="F36" s="171"/>
      <c r="G36" s="171"/>
      <c r="H36" s="171"/>
      <c r="I36" s="187"/>
    </row>
    <row r="37" ht="36.75" spans="1:9">
      <c r="A37" s="180" t="str">
        <f>IF(IDENTITAS!G13="","",IF(IDENTITAS!G13=IDENTITAS!G13,IDENTITAS!G13))</f>
        <v>SMPN 5 JAKARTA</v>
      </c>
      <c r="B37" s="181"/>
      <c r="C37" s="181"/>
      <c r="D37" s="181"/>
      <c r="E37" s="181"/>
      <c r="F37" s="181"/>
      <c r="G37" s="181"/>
      <c r="H37" s="181"/>
      <c r="I37" s="191"/>
    </row>
    <row r="38" ht="22.5" spans="1:9">
      <c r="A38" s="182" t="str">
        <f>"Tahun Pelajaran "&amp;+IF(IDENTITAS!G39="","",IF(IDENTITAS!G39=IDENTITAS!G39,IDENTITAS!G39))</f>
        <v>Tahun Pelajaran 2019 / 2020</v>
      </c>
      <c r="B38" s="183"/>
      <c r="C38" s="183"/>
      <c r="D38" s="183"/>
      <c r="E38" s="183"/>
      <c r="F38" s="183"/>
      <c r="G38" s="183"/>
      <c r="H38" s="183"/>
      <c r="I38" s="192"/>
    </row>
    <row r="39" spans="1:9">
      <c r="A39" s="170"/>
      <c r="B39" s="171"/>
      <c r="C39" s="171"/>
      <c r="D39" s="171"/>
      <c r="E39" s="171"/>
      <c r="F39" s="171"/>
      <c r="G39" s="171"/>
      <c r="H39" s="171"/>
      <c r="I39" s="187"/>
    </row>
    <row r="40" spans="1:9">
      <c r="A40" s="170"/>
      <c r="B40" s="171"/>
      <c r="C40" s="171"/>
      <c r="D40" s="171"/>
      <c r="E40" s="171"/>
      <c r="F40" s="171"/>
      <c r="G40" s="171"/>
      <c r="H40" s="171"/>
      <c r="I40" s="187"/>
    </row>
    <row r="41" ht="15" spans="1:9">
      <c r="A41" s="184"/>
      <c r="B41" s="185"/>
      <c r="C41" s="185"/>
      <c r="D41" s="185"/>
      <c r="E41" s="185"/>
      <c r="F41" s="185"/>
      <c r="G41" s="185"/>
      <c r="H41" s="185"/>
      <c r="I41" s="193"/>
    </row>
  </sheetData>
  <sheetProtection password="CEC8" sheet="1" objects="1" scenarios="1"/>
  <mergeCells count="5">
    <mergeCell ref="A3:I3"/>
    <mergeCell ref="A4:I4"/>
    <mergeCell ref="A5:I5"/>
    <mergeCell ref="A37:I37"/>
    <mergeCell ref="A38:I38"/>
  </mergeCells>
  <pageMargins left="1.04" right="0.21"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H23"/>
  <sheetViews>
    <sheetView showGridLines="0" view="pageBreakPreview" zoomScale="130" zoomScaleNormal="100" workbookViewId="0">
      <selection activeCell="A1" sqref="A1:H1"/>
    </sheetView>
  </sheetViews>
  <sheetFormatPr defaultColWidth="9.14166666666667" defaultRowHeight="14.25" outlineLevelCol="7"/>
  <cols>
    <col min="1" max="1" width="2.70833333333333" style="1" customWidth="1"/>
    <col min="2" max="2" width="12.5666666666667" style="1" customWidth="1"/>
    <col min="3" max="3" width="23.2833333333333" style="1" customWidth="1"/>
    <col min="4" max="4" width="1.56666666666667" style="1" customWidth="1"/>
    <col min="5" max="5" width="15" style="1" customWidth="1"/>
    <col min="6" max="6" width="9.14166666666667" style="1"/>
    <col min="7" max="7" width="3.70833333333333" style="1" customWidth="1"/>
    <col min="8" max="8" width="10.8583333333333" style="1" customWidth="1"/>
    <col min="9" max="16384" width="9.14166666666667" style="1"/>
  </cols>
  <sheetData>
    <row r="1" ht="18" customHeight="1" spans="1:8">
      <c r="A1" s="159" t="s">
        <v>67</v>
      </c>
      <c r="B1" s="159"/>
      <c r="C1" s="159"/>
      <c r="D1" s="159"/>
      <c r="E1" s="159"/>
      <c r="F1" s="159"/>
      <c r="G1" s="159"/>
      <c r="H1" s="159"/>
    </row>
    <row r="2" ht="18" customHeight="1" spans="1:8">
      <c r="A2" s="159" t="s">
        <v>68</v>
      </c>
      <c r="B2" s="159"/>
      <c r="C2" s="159"/>
      <c r="D2" s="159"/>
      <c r="E2" s="159"/>
      <c r="F2" s="159"/>
      <c r="G2" s="159"/>
      <c r="H2" s="159"/>
    </row>
    <row r="4" ht="28.5" customHeight="1" spans="1:8">
      <c r="A4" s="1" t="s">
        <v>65</v>
      </c>
      <c r="D4" s="1" t="s">
        <v>12</v>
      </c>
      <c r="E4" s="160" t="str">
        <f>IF(IDENTITAS!S7="","",IF(IDENTITAS!S7=IDENTITAS!S7,IDENTITAS!S7))</f>
        <v>KHARISMA MEI RESIWATI, S.Pd.</v>
      </c>
      <c r="F4" s="160"/>
      <c r="G4" s="160"/>
      <c r="H4" s="160"/>
    </row>
    <row r="5" ht="28.5" customHeight="1" spans="1:8">
      <c r="A5" s="160" t="s">
        <v>69</v>
      </c>
      <c r="B5" s="160"/>
      <c r="D5" s="1" t="s">
        <v>12</v>
      </c>
      <c r="E5" s="160" t="str">
        <f>IF(IDENTITAS!S9="","",IF(IDENTITAS!S9=IDENTITAS!S9,IDENTITAS!S9))</f>
        <v/>
      </c>
      <c r="F5" s="160"/>
      <c r="G5" s="19" t="s">
        <v>20</v>
      </c>
      <c r="H5" s="160" t="str">
        <f>IF(IDENTITAS!W9="","",IF(IDENTITAS!W9=IDENTITAS!W9,IDENTITAS!W9))</f>
        <v/>
      </c>
    </row>
    <row r="6" ht="28.5" customHeight="1" spans="1:8">
      <c r="A6" s="1" t="s">
        <v>27</v>
      </c>
      <c r="D6" s="1" t="s">
        <v>12</v>
      </c>
      <c r="E6" s="160" t="str">
        <f>IF(IDENTITAS!S13="","",IF(IDENTITAS!S13=IDENTITAS!S13,IDENTITAS!S13))</f>
        <v>Guru Pertama, Penata Muda, III/a</v>
      </c>
      <c r="F6" s="160"/>
      <c r="G6" s="160"/>
      <c r="H6" s="160"/>
    </row>
    <row r="7" ht="28.5" customHeight="1" spans="1:8">
      <c r="A7" s="1" t="s">
        <v>11</v>
      </c>
      <c r="D7" s="1" t="s">
        <v>12</v>
      </c>
      <c r="E7" s="166">
        <f>IF(IDENTITAS!S5="","",IF(IDENTITAS!S5=IDENTITAS!S5,IDENTITAS!S5))</f>
        <v>8844769670230280</v>
      </c>
      <c r="F7" s="166"/>
      <c r="G7" s="166"/>
      <c r="H7" s="166"/>
    </row>
    <row r="8" ht="28.5" customHeight="1" spans="1:8">
      <c r="A8" s="1" t="s">
        <v>70</v>
      </c>
      <c r="D8" s="1" t="s">
        <v>12</v>
      </c>
      <c r="E8" s="160" t="str">
        <f>IF(IDENTITAS!G13="","",IF(IDENTITAS!G13=IDENTITAS!G13,IDENTITAS!G13))</f>
        <v>SMPN 5 JAKARTA</v>
      </c>
      <c r="F8" s="160"/>
      <c r="G8" s="160"/>
      <c r="H8" s="160"/>
    </row>
    <row r="9" ht="28.5" customHeight="1" spans="1:8">
      <c r="A9" s="1" t="s">
        <v>71</v>
      </c>
      <c r="D9" s="1" t="s">
        <v>12</v>
      </c>
      <c r="E9" s="160"/>
      <c r="F9" s="160"/>
      <c r="G9" s="160"/>
      <c r="H9" s="160"/>
    </row>
    <row r="10" ht="28.5" customHeight="1" spans="1:8">
      <c r="A10" s="41" t="s">
        <v>72</v>
      </c>
      <c r="B10" s="1" t="s">
        <v>32</v>
      </c>
      <c r="D10" s="1" t="s">
        <v>12</v>
      </c>
      <c r="E10" s="160" t="str">
        <f>IF(IDENTITAS!G17="","",IF(IDENTITAS!G17=IDENTITAS!G17,IDENTITAS!G17))</f>
        <v>Pasar  Baru</v>
      </c>
      <c r="F10" s="160"/>
      <c r="G10" s="160"/>
      <c r="H10" s="160"/>
    </row>
    <row r="11" ht="28.5" customHeight="1" spans="1:8">
      <c r="A11" s="41" t="s">
        <v>72</v>
      </c>
      <c r="B11" s="1" t="s">
        <v>35</v>
      </c>
      <c r="D11" s="1" t="s">
        <v>12</v>
      </c>
      <c r="E11" s="160" t="str">
        <f>IF(IDENTITAS!G19="","",IF(IDENTITAS!G19=IDENTITAS!G19,IDENTITAS!G19))</f>
        <v>Sawah Besar</v>
      </c>
      <c r="F11" s="160"/>
      <c r="G11" s="160"/>
      <c r="H11" s="160"/>
    </row>
    <row r="12" ht="28.5" customHeight="1" spans="1:8">
      <c r="A12" s="41" t="s">
        <v>72</v>
      </c>
      <c r="B12" s="1" t="s">
        <v>73</v>
      </c>
      <c r="D12" s="1" t="s">
        <v>12</v>
      </c>
      <c r="E12" s="160" t="str">
        <f>IF(IDENTITAS!G21="","",IF(IDENTITAS!G21=IDENTITAS!G21,IDENTITAS!G21))</f>
        <v>Jakarta - Pusat</v>
      </c>
      <c r="F12" s="160"/>
      <c r="G12" s="160"/>
      <c r="H12" s="160"/>
    </row>
    <row r="13" ht="28.5" customHeight="1" spans="1:8">
      <c r="A13" s="41" t="s">
        <v>72</v>
      </c>
      <c r="B13" s="1" t="s">
        <v>43</v>
      </c>
      <c r="D13" s="1" t="s">
        <v>12</v>
      </c>
      <c r="E13" s="160" t="str">
        <f>IF(IDENTITAS!G23="","",IF(IDENTITAS!G23=IDENTITAS!G23,IDENTITAS!G23))</f>
        <v>DKI JAKARTA</v>
      </c>
      <c r="F13" s="160"/>
      <c r="G13" s="160"/>
      <c r="H13" s="160"/>
    </row>
    <row r="14" ht="28.5" customHeight="1" spans="1:8">
      <c r="A14" s="1" t="s">
        <v>74</v>
      </c>
      <c r="D14" s="1" t="s">
        <v>12</v>
      </c>
      <c r="E14" s="31">
        <f>IF(IDENTITAS!S15="","",IF(IDENTITAS!S15=IDENTITAS!S15,IDENTITAS!S15))</f>
        <v>43647</v>
      </c>
      <c r="F14" s="31"/>
      <c r="G14" s="31"/>
      <c r="H14" s="31"/>
    </row>
    <row r="15" ht="28.5" customHeight="1" spans="1:8">
      <c r="A15" s="1" t="s">
        <v>75</v>
      </c>
      <c r="D15" s="1" t="s">
        <v>12</v>
      </c>
      <c r="E15" s="31" t="str">
        <f>IF(IDENTITAS!L2="","",IF(IDENTITAS!L2=IDENTITAS!L2,IDENTITAS!L2))</f>
        <v>Januari 2019 s/d  Desember 2019</v>
      </c>
      <c r="F15" s="31"/>
      <c r="G15" s="31"/>
      <c r="H15" s="31"/>
    </row>
    <row r="17" ht="18" spans="1:8">
      <c r="A17" s="161" t="s">
        <v>76</v>
      </c>
      <c r="B17" s="161"/>
      <c r="C17" s="161"/>
      <c r="D17" s="161"/>
      <c r="E17" s="161"/>
      <c r="F17" s="161"/>
      <c r="G17" s="161"/>
      <c r="H17" s="161"/>
    </row>
    <row r="19" ht="30.75" customHeight="1" spans="1:8">
      <c r="A19" s="162" t="s">
        <v>77</v>
      </c>
      <c r="B19" s="162"/>
      <c r="C19" s="162"/>
      <c r="D19" s="162"/>
      <c r="E19" s="162"/>
      <c r="F19" s="162"/>
      <c r="G19" s="162"/>
      <c r="H19" s="162"/>
    </row>
    <row r="21" ht="29.25" customHeight="1" spans="1:8">
      <c r="A21" s="160" t="s">
        <v>65</v>
      </c>
      <c r="B21" s="160"/>
      <c r="C21" s="163" t="str">
        <f>IF(E4="","",IF(E4=E4,E4))</f>
        <v>KHARISMA MEI RESIWATI, S.Pd.</v>
      </c>
      <c r="E21" s="1" t="s">
        <v>78</v>
      </c>
      <c r="F21" s="163" t="str">
        <f>IF(IDENTITAS!G35="","",IF(IDENTITAS!G35=IDENTITAS!G35,IDENTITAS!G35))</f>
        <v>BAHRUDIN,S.Pd,M.M</v>
      </c>
      <c r="G21" s="163"/>
      <c r="H21" s="163"/>
    </row>
    <row r="22" ht="39.75" customHeight="1" spans="1:8">
      <c r="A22" s="160" t="s">
        <v>79</v>
      </c>
      <c r="B22" s="160"/>
      <c r="C22" s="164"/>
      <c r="E22" s="1" t="s">
        <v>79</v>
      </c>
      <c r="F22" s="167"/>
      <c r="G22" s="167"/>
      <c r="H22" s="167"/>
    </row>
    <row r="23" ht="29.25" customHeight="1" spans="1:3">
      <c r="A23" s="160" t="s">
        <v>80</v>
      </c>
      <c r="B23" s="160"/>
      <c r="C23" s="165" t="str">
        <f>IF(IDENTITAS!E2="","",IF(IDENTITAS!E2=IDENTITAS!E2,IDENTITAS!E2))</f>
        <v>20 September 2019</v>
      </c>
    </row>
  </sheetData>
  <sheetProtection password="CEC8" sheet="1" objects="1" scenarios="1"/>
  <mergeCells count="22">
    <mergeCell ref="A1:H1"/>
    <mergeCell ref="A2:H2"/>
    <mergeCell ref="E4:H4"/>
    <mergeCell ref="A5:B5"/>
    <mergeCell ref="E5:F5"/>
    <mergeCell ref="E6:H6"/>
    <mergeCell ref="E7:H7"/>
    <mergeCell ref="E8:H8"/>
    <mergeCell ref="E9:H9"/>
    <mergeCell ref="E10:H10"/>
    <mergeCell ref="E11:H11"/>
    <mergeCell ref="E12:H12"/>
    <mergeCell ref="E13:H13"/>
    <mergeCell ref="E14:H14"/>
    <mergeCell ref="E15:H15"/>
    <mergeCell ref="A17:H17"/>
    <mergeCell ref="A19:H19"/>
    <mergeCell ref="A21:B21"/>
    <mergeCell ref="F21:H21"/>
    <mergeCell ref="A22:B22"/>
    <mergeCell ref="F22:H22"/>
    <mergeCell ref="A23:B23"/>
  </mergeCells>
  <pageMargins left="1.12" right="0.25" top="0.75" bottom="0.75" header="0.3" footer="0.3"/>
  <pageSetup paperSize="9"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AD50"/>
  <sheetViews>
    <sheetView showGridLines="0" view="pageBreakPreview" zoomScaleNormal="100" workbookViewId="0">
      <selection activeCell="A1" sqref="A1"/>
    </sheetView>
  </sheetViews>
  <sheetFormatPr defaultColWidth="9.14166666666667" defaultRowHeight="14.25"/>
  <cols>
    <col min="1" max="1" width="4.425" style="58" customWidth="1"/>
    <col min="2" max="3" width="9.14166666666667" style="1"/>
    <col min="4" max="4" width="5.85833333333333" style="1" customWidth="1"/>
    <col min="5" max="5" width="4.70833333333333" style="1" customWidth="1"/>
    <col min="6" max="7" width="9.14166666666667" style="1"/>
    <col min="8" max="9" width="6.28333333333333" style="1" customWidth="1"/>
    <col min="10" max="10" width="10.7083333333333" style="1" customWidth="1"/>
    <col min="11" max="11" width="10.2833333333333" style="1" customWidth="1"/>
    <col min="12" max="14" width="9.14166666666667" style="1"/>
    <col min="15" max="15" width="9.14166666666667" style="1" customWidth="1"/>
    <col min="16" max="16384" width="9.14166666666667" style="1"/>
  </cols>
  <sheetData>
    <row r="1" ht="6.75" customHeight="1"/>
    <row r="2" ht="23.25" customHeight="1" spans="10:11">
      <c r="J2" s="128" t="s">
        <v>81</v>
      </c>
      <c r="K2" s="144"/>
    </row>
    <row r="3" spans="1:16">
      <c r="A3" s="63" t="s">
        <v>82</v>
      </c>
      <c r="B3" s="63"/>
      <c r="C3" s="63"/>
      <c r="D3" s="63"/>
      <c r="E3" s="63"/>
      <c r="F3" s="63"/>
      <c r="G3" s="63"/>
      <c r="H3" s="63"/>
      <c r="I3" s="63"/>
      <c r="J3" s="63"/>
      <c r="K3" s="63"/>
      <c r="L3" s="63"/>
      <c r="O3" s="156"/>
      <c r="P3" s="156"/>
    </row>
    <row r="5" ht="18" customHeight="1" spans="1:11">
      <c r="A5" s="58" t="s">
        <v>83</v>
      </c>
      <c r="B5" s="64" t="s">
        <v>15</v>
      </c>
      <c r="C5" s="64"/>
      <c r="D5" s="64"/>
      <c r="F5" s="86" t="s">
        <v>12</v>
      </c>
      <c r="G5" s="142" t="str">
        <f>IF(IDENTITAS!S7="","",IF(IDENTITAS!S7=IDENTITAS!S7,IDENTITAS!S7))</f>
        <v>KHARISMA MEI RESIWATI, S.Pd.</v>
      </c>
      <c r="H5" s="88"/>
      <c r="I5" s="88"/>
      <c r="J5" s="88"/>
      <c r="K5" s="88"/>
    </row>
    <row r="6" ht="18" customHeight="1" spans="2:11">
      <c r="B6" s="64" t="s">
        <v>84</v>
      </c>
      <c r="C6" s="64"/>
      <c r="D6" s="64"/>
      <c r="F6" s="86" t="s">
        <v>12</v>
      </c>
      <c r="G6" s="142" t="str">
        <f>IF(IDENTITAS!S9="","",IF(IDENTITAS!S9=IDENTITAS!S9,IDENTITAS!S9))</f>
        <v/>
      </c>
      <c r="H6" s="89"/>
      <c r="I6" s="89"/>
      <c r="J6" s="89"/>
      <c r="K6" s="89"/>
    </row>
    <row r="7" ht="18" customHeight="1" spans="2:11">
      <c r="B7" s="64" t="s">
        <v>23</v>
      </c>
      <c r="C7" s="64"/>
      <c r="D7" s="64"/>
      <c r="F7" s="86" t="s">
        <v>12</v>
      </c>
      <c r="G7" s="142" t="str">
        <f>IF(IDENTITAS!S11="","",IF(IDENTITAS!S11=IDENTITAS!S11,IDENTITAS!S11))</f>
        <v>Cilacap, 12 Mei 1991</v>
      </c>
      <c r="H7" s="89"/>
      <c r="I7" s="89"/>
      <c r="J7" s="89"/>
      <c r="K7" s="89"/>
    </row>
    <row r="8" ht="18" customHeight="1" spans="2:16">
      <c r="B8" s="64" t="s">
        <v>27</v>
      </c>
      <c r="C8" s="64"/>
      <c r="D8" s="64"/>
      <c r="F8" s="86" t="s">
        <v>12</v>
      </c>
      <c r="G8" s="142" t="str">
        <f>IF(IDENTITAS!S13="","",IF(IDENTITAS!S13=IDENTITAS!S13,IDENTITAS!S13))</f>
        <v>Guru Pertama, Penata Muda, III/a</v>
      </c>
      <c r="H8" s="89"/>
      <c r="I8" s="89"/>
      <c r="J8" s="89"/>
      <c r="K8" s="89"/>
      <c r="N8" s="56"/>
      <c r="O8" s="56"/>
      <c r="P8" s="56"/>
    </row>
    <row r="9" ht="18" customHeight="1" spans="2:16">
      <c r="B9" s="64" t="s">
        <v>31</v>
      </c>
      <c r="C9" s="64"/>
      <c r="D9" s="64"/>
      <c r="F9" s="86" t="s">
        <v>12</v>
      </c>
      <c r="G9" s="143">
        <f>IF(IDENTITAS!S15="","",IF(IDENTITAS!S15=IDENTITAS!S15,IDENTITAS!S15))</f>
        <v>43647</v>
      </c>
      <c r="H9" s="143"/>
      <c r="I9" s="143"/>
      <c r="J9" s="143"/>
      <c r="K9" s="143"/>
      <c r="N9" s="56"/>
      <c r="O9" s="56"/>
      <c r="P9" s="56"/>
    </row>
    <row r="10" ht="18" customHeight="1" spans="2:16">
      <c r="B10" s="64" t="s">
        <v>34</v>
      </c>
      <c r="C10" s="64"/>
      <c r="D10" s="64"/>
      <c r="F10" s="86" t="s">
        <v>12</v>
      </c>
      <c r="G10" s="142" t="str">
        <f ca="1">IF(IDENTITAS!S17="","",IF(IDENTITAS!S17=IDENTITAS!S17,IDENTITAS!S17))</f>
        <v>4 tahun 0 bulan </v>
      </c>
      <c r="H10" s="91"/>
      <c r="I10" s="91"/>
      <c r="J10" s="98"/>
      <c r="K10" s="91"/>
      <c r="N10" s="56"/>
      <c r="O10" s="56"/>
      <c r="P10" s="56"/>
    </row>
    <row r="11" ht="18" customHeight="1" spans="2:18">
      <c r="B11" s="64" t="s">
        <v>37</v>
      </c>
      <c r="C11" s="64"/>
      <c r="D11" s="64"/>
      <c r="F11" s="86" t="s">
        <v>12</v>
      </c>
      <c r="G11" s="142" t="str">
        <f>IF(IDENTITAS!S19="","",IF(IDENTITAS!S19=IDENTITAS!S19,IDENTITAS!S19))</f>
        <v>Perempuan</v>
      </c>
      <c r="H11" s="89"/>
      <c r="I11" s="89"/>
      <c r="J11" s="89"/>
      <c r="K11" s="89"/>
      <c r="N11" s="56"/>
      <c r="O11" s="56"/>
      <c r="P11" s="56"/>
      <c r="R11" s="158"/>
    </row>
    <row r="12" ht="18" customHeight="1" spans="2:16">
      <c r="B12" s="65" t="s">
        <v>41</v>
      </c>
      <c r="C12" s="64"/>
      <c r="D12" s="64"/>
      <c r="F12" s="86" t="s">
        <v>12</v>
      </c>
      <c r="G12" s="142" t="str">
        <f>IF(IDENTITAS!S21="","",IF(IDENTITAS!S21=IDENTITAS!S21,IDENTITAS!S21))</f>
        <v>S1 Pendidikan  Matematika</v>
      </c>
      <c r="H12" s="89"/>
      <c r="I12" s="89"/>
      <c r="J12" s="89"/>
      <c r="K12" s="89"/>
      <c r="N12" s="56"/>
      <c r="O12" s="56"/>
      <c r="P12" s="56"/>
    </row>
    <row r="13" ht="18" customHeight="1" spans="2:16">
      <c r="B13" s="66" t="s">
        <v>45</v>
      </c>
      <c r="C13" s="64"/>
      <c r="D13" s="64"/>
      <c r="F13" s="86" t="s">
        <v>12</v>
      </c>
      <c r="G13" s="142" t="str">
        <f>IF(IDENTITAS!S23="","",IF(IDENTITAS!S23=IDENTITAS!S23,IDENTITAS!S23))</f>
        <v>Matematika</v>
      </c>
      <c r="H13" s="89"/>
      <c r="I13" s="89"/>
      <c r="J13" s="89"/>
      <c r="K13" s="89"/>
      <c r="N13" s="56"/>
      <c r="O13" s="56"/>
      <c r="P13" s="56"/>
    </row>
    <row r="14" ht="18" customHeight="1" spans="1:16">
      <c r="A14" s="58" t="s">
        <v>85</v>
      </c>
      <c r="B14" s="64" t="s">
        <v>70</v>
      </c>
      <c r="C14" s="64"/>
      <c r="D14" s="64"/>
      <c r="F14" s="86" t="s">
        <v>12</v>
      </c>
      <c r="G14" s="142" t="str">
        <f>IF(IDENTITAS!G13="","",IF(IDENTITAS!G13=IDENTITAS!G13,IDENTITAS!G13))</f>
        <v>SMPN 5 JAKARTA</v>
      </c>
      <c r="H14" s="89"/>
      <c r="I14" s="89"/>
      <c r="J14" s="89"/>
      <c r="K14" s="89"/>
      <c r="N14" s="56"/>
      <c r="O14" s="56"/>
      <c r="P14" s="56"/>
    </row>
    <row r="15" ht="18" customHeight="1" spans="2:11">
      <c r="B15" s="64" t="s">
        <v>29</v>
      </c>
      <c r="C15" s="64"/>
      <c r="D15" s="64"/>
      <c r="F15" s="86" t="s">
        <v>12</v>
      </c>
      <c r="G15" s="142" t="str">
        <f>IF(IDENTITAS!G15="","",IF(IDENTITAS!G15=IDENTITAS!G15,IDENTITAS!G15))</f>
        <v>021 - 3844986</v>
      </c>
      <c r="H15" s="89"/>
      <c r="I15" s="89"/>
      <c r="J15" s="89"/>
      <c r="K15" s="89"/>
    </row>
    <row r="16" ht="18" customHeight="1" spans="2:11">
      <c r="B16" s="64" t="s">
        <v>32</v>
      </c>
      <c r="C16" s="64"/>
      <c r="D16" s="64"/>
      <c r="F16" s="86" t="s">
        <v>12</v>
      </c>
      <c r="G16" s="142" t="str">
        <f>IF(IDENTITAS!G17="","",IF(IDENTITAS!G17=IDENTITAS!G17,IDENTITAS!G17))</f>
        <v>Pasar  Baru</v>
      </c>
      <c r="H16" s="89"/>
      <c r="I16" s="89"/>
      <c r="J16" s="89"/>
      <c r="K16" s="89"/>
    </row>
    <row r="17" ht="18" customHeight="1" spans="2:11">
      <c r="B17" s="64" t="s">
        <v>35</v>
      </c>
      <c r="C17" s="64"/>
      <c r="D17" s="64"/>
      <c r="F17" s="86" t="s">
        <v>12</v>
      </c>
      <c r="G17" s="142" t="str">
        <f>IF(IDENTITAS!G19="","",IF(IDENTITAS!G19=IDENTITAS!G19,IDENTITAS!G19))</f>
        <v>Sawah Besar</v>
      </c>
      <c r="H17" s="89"/>
      <c r="I17" s="89"/>
      <c r="J17" s="89"/>
      <c r="K17" s="89"/>
    </row>
    <row r="18" ht="18" customHeight="1" spans="2:11">
      <c r="B18" s="64" t="s">
        <v>39</v>
      </c>
      <c r="C18" s="64"/>
      <c r="D18" s="64"/>
      <c r="F18" s="86" t="s">
        <v>12</v>
      </c>
      <c r="G18" s="142" t="str">
        <f>IF(IDENTITAS!G21="","",IF(IDENTITAS!G21=IDENTITAS!G21,IDENTITAS!G21))</f>
        <v>Jakarta - Pusat</v>
      </c>
      <c r="H18" s="89"/>
      <c r="I18" s="89"/>
      <c r="J18" s="89"/>
      <c r="K18" s="89"/>
    </row>
    <row r="19" ht="18" customHeight="1" spans="2:11">
      <c r="B19" s="64" t="s">
        <v>43</v>
      </c>
      <c r="C19" s="64"/>
      <c r="D19" s="64"/>
      <c r="F19" s="86" t="s">
        <v>12</v>
      </c>
      <c r="G19" s="142" t="str">
        <f>IF(IDENTITAS!G23="","",IF(IDENTITAS!G23=IDENTITAS!G23,IDENTITAS!G23))</f>
        <v>DKI JAKARTA</v>
      </c>
      <c r="H19" s="89"/>
      <c r="I19" s="89"/>
      <c r="J19" s="89"/>
      <c r="K19" s="89"/>
    </row>
    <row r="21" ht="18" customHeight="1" spans="1:11">
      <c r="A21" s="128" t="s">
        <v>86</v>
      </c>
      <c r="B21" s="129"/>
      <c r="C21" s="129"/>
      <c r="D21" s="129"/>
      <c r="E21" s="144"/>
      <c r="F21" s="145" t="s">
        <v>87</v>
      </c>
      <c r="G21" s="146"/>
      <c r="H21" s="147" t="s">
        <v>88</v>
      </c>
      <c r="I21" s="151"/>
      <c r="J21" s="128" t="s">
        <v>89</v>
      </c>
      <c r="K21" s="144"/>
    </row>
    <row r="22" ht="18" customHeight="1" spans="1:11">
      <c r="A22" s="130" t="str">
        <f>IF(IDENTITAS!L2="","",IF(IDENTITAS!L2=IDENTITAS!L2,IDENTITAS!L2))</f>
        <v>Januari 2019 s/d  Desember 2019</v>
      </c>
      <c r="B22" s="131"/>
      <c r="C22" s="131"/>
      <c r="D22" s="131"/>
      <c r="E22" s="148"/>
      <c r="F22" s="145" t="s">
        <v>90</v>
      </c>
      <c r="G22" s="146"/>
      <c r="H22" s="149" t="s">
        <v>88</v>
      </c>
      <c r="I22" s="149"/>
      <c r="J22" s="130" t="str">
        <f>IF(IDENTITAS!G39="","",IF(IDENTITAS!G39=IDENTITAS!G39,IDENTITAS!G39))</f>
        <v>2019 / 2020</v>
      </c>
      <c r="K22" s="148"/>
    </row>
    <row r="23" ht="18" customHeight="1" spans="1:15">
      <c r="A23" s="132"/>
      <c r="B23" s="133"/>
      <c r="C23" s="133"/>
      <c r="D23" s="133"/>
      <c r="E23" s="150"/>
      <c r="F23" s="145" t="s">
        <v>91</v>
      </c>
      <c r="G23" s="146"/>
      <c r="H23" s="149" t="s">
        <v>88</v>
      </c>
      <c r="I23" s="149"/>
      <c r="J23" s="132"/>
      <c r="K23" s="150"/>
      <c r="M23" s="157"/>
      <c r="N23" s="157"/>
      <c r="O23" s="157"/>
    </row>
    <row r="24" ht="8.25" customHeight="1"/>
    <row r="25" s="127" customFormat="1" ht="15.75" customHeight="1" spans="1:11">
      <c r="A25" s="134" t="s">
        <v>92</v>
      </c>
      <c r="B25" s="134" t="s">
        <v>93</v>
      </c>
      <c r="C25" s="134"/>
      <c r="D25" s="134"/>
      <c r="E25" s="134"/>
      <c r="F25" s="134"/>
      <c r="G25" s="134"/>
      <c r="H25" s="134"/>
      <c r="I25" s="134"/>
      <c r="J25" s="134"/>
      <c r="K25" s="134" t="s">
        <v>94</v>
      </c>
    </row>
    <row r="26" s="65" customFormat="1" ht="15.75" customHeight="1" spans="1:30">
      <c r="A26" s="267" t="s">
        <v>95</v>
      </c>
      <c r="B26" s="136" t="s">
        <v>96</v>
      </c>
      <c r="C26" s="137"/>
      <c r="D26" s="137"/>
      <c r="E26" s="137"/>
      <c r="F26" s="137"/>
      <c r="G26" s="137"/>
      <c r="H26" s="137"/>
      <c r="I26" s="137"/>
      <c r="J26" s="152"/>
      <c r="K26" s="153">
        <f>'KOMP-1'!H13</f>
        <v>4</v>
      </c>
      <c r="V26" s="136" t="s">
        <v>97</v>
      </c>
      <c r="W26" s="137"/>
      <c r="X26" s="137"/>
      <c r="Y26" s="137"/>
      <c r="Z26" s="137"/>
      <c r="AA26" s="137"/>
      <c r="AB26" s="137"/>
      <c r="AC26" s="137"/>
      <c r="AD26" s="152"/>
    </row>
    <row r="27" s="65" customFormat="1" ht="15.75" customHeight="1" spans="1:30">
      <c r="A27" s="267" t="s">
        <v>98</v>
      </c>
      <c r="B27" s="136" t="s">
        <v>99</v>
      </c>
      <c r="C27" s="137"/>
      <c r="D27" s="137"/>
      <c r="E27" s="137"/>
      <c r="F27" s="137"/>
      <c r="G27" s="137"/>
      <c r="H27" s="137"/>
      <c r="I27" s="137"/>
      <c r="J27" s="152"/>
      <c r="K27" s="153">
        <f>'KOMP-2'!H13</f>
        <v>4</v>
      </c>
      <c r="V27" s="136" t="s">
        <v>100</v>
      </c>
      <c r="W27" s="137"/>
      <c r="X27" s="137"/>
      <c r="Y27" s="137"/>
      <c r="Z27" s="137"/>
      <c r="AA27" s="137"/>
      <c r="AB27" s="137"/>
      <c r="AC27" s="137"/>
      <c r="AD27" s="152"/>
    </row>
    <row r="28" s="65" customFormat="1" ht="15.75" customHeight="1" spans="1:30">
      <c r="A28" s="267" t="s">
        <v>101</v>
      </c>
      <c r="B28" s="136" t="s">
        <v>102</v>
      </c>
      <c r="C28" s="137"/>
      <c r="D28" s="137"/>
      <c r="E28" s="137"/>
      <c r="F28" s="137"/>
      <c r="G28" s="137"/>
      <c r="H28" s="137"/>
      <c r="I28" s="137"/>
      <c r="J28" s="152"/>
      <c r="K28" s="153">
        <f>'KOMP-3'!H11</f>
        <v>3</v>
      </c>
      <c r="V28" s="136" t="s">
        <v>103</v>
      </c>
      <c r="W28" s="137"/>
      <c r="X28" s="137"/>
      <c r="Y28" s="137"/>
      <c r="Z28" s="137"/>
      <c r="AA28" s="137"/>
      <c r="AB28" s="137"/>
      <c r="AC28" s="137"/>
      <c r="AD28" s="152"/>
    </row>
    <row r="29" s="65" customFormat="1" ht="15.75" customHeight="1" spans="1:30">
      <c r="A29" s="267" t="s">
        <v>104</v>
      </c>
      <c r="B29" s="136" t="s">
        <v>105</v>
      </c>
      <c r="C29" s="137"/>
      <c r="D29" s="137"/>
      <c r="E29" s="137"/>
      <c r="F29" s="137"/>
      <c r="G29" s="137"/>
      <c r="H29" s="137"/>
      <c r="I29" s="137"/>
      <c r="J29" s="152"/>
      <c r="K29" s="153">
        <f>'KOMP-4'!H18</f>
        <v>4</v>
      </c>
      <c r="V29" s="136" t="s">
        <v>106</v>
      </c>
      <c r="W29" s="137"/>
      <c r="X29" s="137"/>
      <c r="Y29" s="137"/>
      <c r="Z29" s="137"/>
      <c r="AA29" s="137"/>
      <c r="AB29" s="137"/>
      <c r="AC29" s="137"/>
      <c r="AD29" s="152"/>
    </row>
    <row r="30" s="65" customFormat="1" ht="15.75" customHeight="1" spans="1:30">
      <c r="A30" s="267" t="s">
        <v>107</v>
      </c>
      <c r="B30" s="136" t="s">
        <v>108</v>
      </c>
      <c r="C30" s="137"/>
      <c r="D30" s="137"/>
      <c r="E30" s="137"/>
      <c r="F30" s="137"/>
      <c r="G30" s="137"/>
      <c r="H30" s="137"/>
      <c r="I30" s="137"/>
      <c r="J30" s="152"/>
      <c r="K30" s="153">
        <f>'KOMP-5'!H14</f>
        <v>4</v>
      </c>
      <c r="V30" s="136" t="s">
        <v>109</v>
      </c>
      <c r="W30" s="137"/>
      <c r="X30" s="137"/>
      <c r="Y30" s="137"/>
      <c r="Z30" s="137"/>
      <c r="AA30" s="137"/>
      <c r="AB30" s="137"/>
      <c r="AC30" s="137"/>
      <c r="AD30" s="152"/>
    </row>
    <row r="31" s="65" customFormat="1" ht="15.75" customHeight="1" spans="1:30">
      <c r="A31" s="267" t="s">
        <v>110</v>
      </c>
      <c r="B31" s="136" t="s">
        <v>111</v>
      </c>
      <c r="C31" s="137"/>
      <c r="D31" s="137"/>
      <c r="E31" s="137"/>
      <c r="F31" s="137"/>
      <c r="G31" s="137"/>
      <c r="H31" s="137"/>
      <c r="I31" s="137"/>
      <c r="J31" s="152"/>
      <c r="K31" s="153">
        <f>'KOMP-6'!H13</f>
        <v>3</v>
      </c>
      <c r="V31" s="136" t="s">
        <v>112</v>
      </c>
      <c r="W31" s="137"/>
      <c r="X31" s="137"/>
      <c r="Y31" s="137"/>
      <c r="Z31" s="137"/>
      <c r="AA31" s="137"/>
      <c r="AB31" s="137"/>
      <c r="AC31" s="137"/>
      <c r="AD31" s="152"/>
    </row>
    <row r="32" s="65" customFormat="1" ht="15.75" customHeight="1" spans="1:30">
      <c r="A32" s="267" t="s">
        <v>113</v>
      </c>
      <c r="B32" s="136" t="s">
        <v>114</v>
      </c>
      <c r="C32" s="137"/>
      <c r="D32" s="137"/>
      <c r="E32" s="137"/>
      <c r="F32" s="137"/>
      <c r="G32" s="137"/>
      <c r="H32" s="137"/>
      <c r="I32" s="137"/>
      <c r="J32" s="152"/>
      <c r="K32" s="153">
        <f>'KOMP-7'!H12</f>
        <v>4</v>
      </c>
      <c r="V32" s="136" t="s">
        <v>115</v>
      </c>
      <c r="W32" s="137"/>
      <c r="X32" s="137"/>
      <c r="Y32" s="137"/>
      <c r="Z32" s="137"/>
      <c r="AA32" s="137"/>
      <c r="AB32" s="137"/>
      <c r="AC32" s="137"/>
      <c r="AD32" s="152"/>
    </row>
    <row r="33" s="65" customFormat="1" ht="15.75" customHeight="1" spans="1:30">
      <c r="A33" s="267" t="s">
        <v>116</v>
      </c>
      <c r="B33" s="138" t="s">
        <v>117</v>
      </c>
      <c r="C33" s="139"/>
      <c r="D33" s="139"/>
      <c r="E33" s="139"/>
      <c r="F33" s="139"/>
      <c r="G33" s="139"/>
      <c r="H33" s="139"/>
      <c r="I33" s="139"/>
      <c r="J33" s="154"/>
      <c r="K33" s="153">
        <f>'KOMP-8'!H12</f>
        <v>3</v>
      </c>
      <c r="V33" s="138" t="s">
        <v>118</v>
      </c>
      <c r="W33" s="139"/>
      <c r="X33" s="139"/>
      <c r="Y33" s="139"/>
      <c r="Z33" s="139"/>
      <c r="AA33" s="139"/>
      <c r="AB33" s="139"/>
      <c r="AC33" s="139"/>
      <c r="AD33" s="154"/>
    </row>
    <row r="34" s="65" customFormat="1" ht="15.75" customHeight="1" spans="1:30">
      <c r="A34" s="267" t="s">
        <v>119</v>
      </c>
      <c r="B34" s="136" t="s">
        <v>120</v>
      </c>
      <c r="C34" s="137"/>
      <c r="D34" s="137"/>
      <c r="E34" s="137"/>
      <c r="F34" s="137"/>
      <c r="G34" s="137"/>
      <c r="H34" s="137"/>
      <c r="I34" s="137"/>
      <c r="J34" s="152"/>
      <c r="K34" s="153">
        <f>'KOMP-9'!H12</f>
        <v>3</v>
      </c>
      <c r="V34" s="136" t="s">
        <v>121</v>
      </c>
      <c r="W34" s="137"/>
      <c r="X34" s="137"/>
      <c r="Y34" s="137"/>
      <c r="Z34" s="137"/>
      <c r="AA34" s="137"/>
      <c r="AB34" s="137"/>
      <c r="AC34" s="137"/>
      <c r="AD34" s="152"/>
    </row>
    <row r="35" s="65" customFormat="1" ht="15.75" customHeight="1" spans="1:30">
      <c r="A35" s="267" t="s">
        <v>122</v>
      </c>
      <c r="B35" s="136" t="s">
        <v>123</v>
      </c>
      <c r="C35" s="137"/>
      <c r="D35" s="137"/>
      <c r="E35" s="137"/>
      <c r="F35" s="137"/>
      <c r="G35" s="137"/>
      <c r="H35" s="137"/>
      <c r="I35" s="137"/>
      <c r="J35" s="152"/>
      <c r="K35" s="153">
        <f>'KOMP-10'!H15</f>
        <v>4</v>
      </c>
      <c r="V35" s="136" t="s">
        <v>124</v>
      </c>
      <c r="W35" s="137"/>
      <c r="X35" s="137"/>
      <c r="Y35" s="137"/>
      <c r="Z35" s="137"/>
      <c r="AA35" s="137"/>
      <c r="AB35" s="137"/>
      <c r="AC35" s="137"/>
      <c r="AD35" s="152"/>
    </row>
    <row r="36" s="65" customFormat="1" ht="15.75" customHeight="1" spans="1:30">
      <c r="A36" s="267" t="s">
        <v>125</v>
      </c>
      <c r="B36" s="136" t="s">
        <v>126</v>
      </c>
      <c r="C36" s="137"/>
      <c r="D36" s="137"/>
      <c r="E36" s="137"/>
      <c r="F36" s="137"/>
      <c r="G36" s="137"/>
      <c r="H36" s="137"/>
      <c r="I36" s="137"/>
      <c r="J36" s="152"/>
      <c r="K36" s="153">
        <f>'KOMP-11'!H10</f>
        <v>4</v>
      </c>
      <c r="V36" s="136" t="s">
        <v>127</v>
      </c>
      <c r="W36" s="137"/>
      <c r="X36" s="137"/>
      <c r="Y36" s="137"/>
      <c r="Z36" s="137"/>
      <c r="AA36" s="137"/>
      <c r="AB36" s="137"/>
      <c r="AC36" s="137"/>
      <c r="AD36" s="152"/>
    </row>
    <row r="37" s="65" customFormat="1" ht="26.25" customHeight="1" spans="1:30">
      <c r="A37" s="267" t="s">
        <v>128</v>
      </c>
      <c r="B37" s="138" t="s">
        <v>129</v>
      </c>
      <c r="C37" s="139"/>
      <c r="D37" s="139"/>
      <c r="E37" s="139"/>
      <c r="F37" s="139"/>
      <c r="G37" s="139"/>
      <c r="H37" s="139"/>
      <c r="I37" s="139"/>
      <c r="J37" s="154"/>
      <c r="K37" s="153">
        <f>'KOMP-12'!H10</f>
        <v>4</v>
      </c>
      <c r="V37" s="138" t="s">
        <v>130</v>
      </c>
      <c r="W37" s="139"/>
      <c r="X37" s="139"/>
      <c r="Y37" s="139"/>
      <c r="Z37" s="139"/>
      <c r="AA37" s="139"/>
      <c r="AB37" s="139"/>
      <c r="AC37" s="139"/>
      <c r="AD37" s="154"/>
    </row>
    <row r="38" s="65" customFormat="1" ht="26.25" customHeight="1" spans="1:30">
      <c r="A38" s="267" t="s">
        <v>131</v>
      </c>
      <c r="B38" s="138" t="s">
        <v>132</v>
      </c>
      <c r="C38" s="139"/>
      <c r="D38" s="139"/>
      <c r="E38" s="139"/>
      <c r="F38" s="139"/>
      <c r="G38" s="139"/>
      <c r="H38" s="139"/>
      <c r="I38" s="139"/>
      <c r="J38" s="154"/>
      <c r="K38" s="153">
        <f>'KOMP-13'!H10</f>
        <v>4</v>
      </c>
      <c r="V38" s="138" t="s">
        <v>133</v>
      </c>
      <c r="W38" s="139"/>
      <c r="X38" s="139"/>
      <c r="Y38" s="139"/>
      <c r="Z38" s="139"/>
      <c r="AA38" s="139"/>
      <c r="AB38" s="139"/>
      <c r="AC38" s="139"/>
      <c r="AD38" s="154"/>
    </row>
    <row r="39" s="65" customFormat="1" ht="15.75" customHeight="1" spans="1:30">
      <c r="A39" s="267" t="s">
        <v>134</v>
      </c>
      <c r="B39" s="136" t="s">
        <v>135</v>
      </c>
      <c r="C39" s="137"/>
      <c r="D39" s="137"/>
      <c r="E39" s="137"/>
      <c r="F39" s="137"/>
      <c r="G39" s="137"/>
      <c r="H39" s="137"/>
      <c r="I39" s="137"/>
      <c r="J39" s="152"/>
      <c r="K39" s="153">
        <f>'KOMP-14'!H13</f>
        <v>3</v>
      </c>
      <c r="V39" s="136" t="s">
        <v>136</v>
      </c>
      <c r="W39" s="137"/>
      <c r="X39" s="137"/>
      <c r="Y39" s="137"/>
      <c r="Z39" s="137"/>
      <c r="AA39" s="137"/>
      <c r="AB39" s="137"/>
      <c r="AC39" s="137"/>
      <c r="AD39" s="152"/>
    </row>
    <row r="40" s="127" customFormat="1" ht="15.75" customHeight="1" spans="1:11">
      <c r="A40" s="140" t="s">
        <v>137</v>
      </c>
      <c r="B40" s="141"/>
      <c r="C40" s="141"/>
      <c r="D40" s="141"/>
      <c r="E40" s="141"/>
      <c r="F40" s="141"/>
      <c r="G40" s="141"/>
      <c r="H40" s="141"/>
      <c r="I40" s="141"/>
      <c r="J40" s="155"/>
      <c r="K40" s="134">
        <f>SUM(K26:K39)</f>
        <v>51</v>
      </c>
    </row>
    <row r="41" ht="9" customHeight="1"/>
    <row r="42" spans="10:12">
      <c r="J42" s="41" t="s">
        <v>138</v>
      </c>
      <c r="K42" s="31" t="str">
        <f>IF(IDENTITAS!E2="","",IF(IDENTITAS!E2=IDENTITAS!E2,IDENTITAS!E2))</f>
        <v>20 September 2019</v>
      </c>
      <c r="L42" s="31"/>
    </row>
    <row r="43" ht="8.25" customHeight="1"/>
    <row r="44" ht="15.75" customHeight="1" spans="1:12">
      <c r="A44" s="85" t="s">
        <v>139</v>
      </c>
      <c r="B44" s="85"/>
      <c r="C44" s="85"/>
      <c r="D44" s="85"/>
      <c r="E44" s="85" t="s">
        <v>140</v>
      </c>
      <c r="F44" s="85"/>
      <c r="G44" s="85"/>
      <c r="H44" s="85"/>
      <c r="I44" s="85"/>
      <c r="J44" s="85" t="s">
        <v>141</v>
      </c>
      <c r="K44" s="85"/>
      <c r="L44" s="85"/>
    </row>
    <row r="49" ht="15" customHeight="1" spans="1:12">
      <c r="A49" s="20" t="str">
        <f>G5</f>
        <v>KHARISMA MEI RESIWATI, S.Pd.</v>
      </c>
      <c r="B49" s="20"/>
      <c r="C49" s="20"/>
      <c r="D49" s="20"/>
      <c r="E49" s="20" t="str">
        <f>IF(IDENTITAS!G35="","",IF(IDENTITAS!G35=IDENTITAS!G35,IDENTITAS!G35))</f>
        <v>BAHRUDIN,S.Pd,M.M</v>
      </c>
      <c r="F49" s="20"/>
      <c r="G49" s="20"/>
      <c r="H49" s="20"/>
      <c r="I49" s="20"/>
      <c r="J49" s="20" t="str">
        <f>IF(IDENTITAS!G9="","",IF(IDENTITAS!G9=IDENTITAS!G9,IDENTITAS!G9))</f>
        <v>BAHRUDIN,S.Pd, M.M</v>
      </c>
      <c r="K49" s="20"/>
      <c r="L49" s="20"/>
    </row>
    <row r="50" ht="15" customHeight="1" spans="1:12">
      <c r="A50" s="19" t="str">
        <f>"NIP "&amp;+G6</f>
        <v>NIP </v>
      </c>
      <c r="B50" s="19"/>
      <c r="C50" s="19"/>
      <c r="D50" s="19"/>
      <c r="E50" s="19" t="str">
        <f>"NIP "&amp;+IF(IDENTITAS!G37="","",IF(IDENTITAS!G37=IDENTITAS!G37,IDENTITAS!G37))</f>
        <v>NIP 196307191989031007</v>
      </c>
      <c r="F50" s="19"/>
      <c r="G50" s="19"/>
      <c r="H50" s="19"/>
      <c r="J50" s="19" t="str">
        <f>"NIP "&amp;+IF(IDENTITAS!G11="","",IF(IDENTITAS!G11=IDENTITAS!G11,IDENTITAS!G11))</f>
        <v>NIP 196307191989031007</v>
      </c>
      <c r="K50" s="19"/>
      <c r="L50" s="19"/>
    </row>
  </sheetData>
  <mergeCells count="33">
    <mergeCell ref="J2:K2"/>
    <mergeCell ref="A3:L3"/>
    <mergeCell ref="O3:P3"/>
    <mergeCell ref="G9:K9"/>
    <mergeCell ref="A21:E21"/>
    <mergeCell ref="F21:G21"/>
    <mergeCell ref="H21:I21"/>
    <mergeCell ref="J21:K21"/>
    <mergeCell ref="F22:G22"/>
    <mergeCell ref="H22:I22"/>
    <mergeCell ref="F23:G23"/>
    <mergeCell ref="H23:I23"/>
    <mergeCell ref="M23:O23"/>
    <mergeCell ref="B25:J25"/>
    <mergeCell ref="B33:J33"/>
    <mergeCell ref="V33:AD33"/>
    <mergeCell ref="B37:J37"/>
    <mergeCell ref="V37:AD37"/>
    <mergeCell ref="B38:J38"/>
    <mergeCell ref="V38:AD38"/>
    <mergeCell ref="A40:J40"/>
    <mergeCell ref="K42:L42"/>
    <mergeCell ref="A44:D44"/>
    <mergeCell ref="E44:H44"/>
    <mergeCell ref="J44:L44"/>
    <mergeCell ref="A49:D49"/>
    <mergeCell ref="E49:H49"/>
    <mergeCell ref="J49:L49"/>
    <mergeCell ref="A50:D50"/>
    <mergeCell ref="E50:H50"/>
    <mergeCell ref="J50:L50"/>
    <mergeCell ref="J22:K23"/>
    <mergeCell ref="A22:E23"/>
  </mergeCells>
  <pageMargins left="0.72" right="0.14" top="0.26" bottom="0.45" header="0.12" footer="0.27"/>
  <pageSetup paperSize="9" scale="97"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050" name="Button 2" r:id="rId3">
              <controlPr print="0" defaultSize="0">
                <anchor moveWithCells="1" sizeWithCells="1">
                  <from>
                    <xdr:col>12</xdr:col>
                    <xdr:colOff>190500</xdr:colOff>
                    <xdr:row>4</xdr:row>
                    <xdr:rowOff>38100</xdr:rowOff>
                  </from>
                  <to>
                    <xdr:col>13</xdr:col>
                    <xdr:colOff>457200</xdr:colOff>
                    <xdr:row>5</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2:W41"/>
  <sheetViews>
    <sheetView showGridLines="0" view="pageBreakPreview" zoomScaleNormal="100" workbookViewId="0">
      <selection activeCell="J13" sqref="J13"/>
    </sheetView>
  </sheetViews>
  <sheetFormatPr defaultColWidth="9.14166666666667" defaultRowHeight="14.25"/>
  <cols>
    <col min="1" max="1" width="4.425" style="58" customWidth="1"/>
    <col min="2" max="3" width="9.14166666666667" style="1"/>
    <col min="4" max="4" width="5.85833333333333" style="1" customWidth="1"/>
    <col min="5" max="5" width="4.70833333333333" style="1" customWidth="1"/>
    <col min="6" max="6" width="7.14166666666667" style="1" customWidth="1"/>
    <col min="7" max="7" width="14.1416666666667" style="1" customWidth="1"/>
    <col min="8" max="9" width="6.28333333333333" style="1" customWidth="1"/>
    <col min="10" max="10" width="7.425" style="1" customWidth="1"/>
    <col min="11" max="11" width="10.2833333333333" style="1" customWidth="1"/>
    <col min="12" max="12" width="9.425" style="1" customWidth="1"/>
    <col min="13" max="13" width="1.85833333333333" style="1" customWidth="1"/>
    <col min="14" max="14" width="10" style="1" customWidth="1"/>
    <col min="15" max="15" width="4.70833333333333" style="1" customWidth="1"/>
    <col min="16" max="16" width="11.2833333333333" style="1" customWidth="1"/>
    <col min="17" max="18" width="9.14166666666667" style="1"/>
    <col min="19" max="19" width="8.28333333333333" style="1" customWidth="1"/>
    <col min="20" max="16384" width="9.14166666666667" style="1"/>
  </cols>
  <sheetData>
    <row r="2" spans="10:22">
      <c r="J2" s="40" t="s">
        <v>142</v>
      </c>
      <c r="K2" s="40"/>
      <c r="L2" s="97"/>
      <c r="S2" s="1" t="s">
        <v>143</v>
      </c>
      <c r="T2" s="1" t="s">
        <v>144</v>
      </c>
      <c r="U2" s="1" t="s">
        <v>145</v>
      </c>
      <c r="V2" s="1" t="s">
        <v>146</v>
      </c>
    </row>
    <row r="3" spans="1:20">
      <c r="A3" s="63" t="s">
        <v>82</v>
      </c>
      <c r="B3" s="63"/>
      <c r="C3" s="63"/>
      <c r="D3" s="63"/>
      <c r="E3" s="63"/>
      <c r="F3" s="63"/>
      <c r="G3" s="63"/>
      <c r="H3" s="63"/>
      <c r="I3" s="63"/>
      <c r="J3" s="63"/>
      <c r="K3" s="63"/>
      <c r="L3" s="63"/>
      <c r="S3" s="120" t="s">
        <v>28</v>
      </c>
      <c r="T3" s="1">
        <v>0</v>
      </c>
    </row>
    <row r="4" spans="18:20">
      <c r="R4" s="119"/>
      <c r="S4" s="120" t="s">
        <v>49</v>
      </c>
      <c r="T4" s="1">
        <v>50</v>
      </c>
    </row>
    <row r="5" ht="15.95" customHeight="1" spans="1:20">
      <c r="A5" s="58" t="s">
        <v>83</v>
      </c>
      <c r="B5" s="64" t="s">
        <v>15</v>
      </c>
      <c r="C5" s="64"/>
      <c r="D5" s="64"/>
      <c r="F5" s="86" t="s">
        <v>12</v>
      </c>
      <c r="G5" s="87" t="str">
        <f>'FORMAT 1C'!G5</f>
        <v>KHARISMA MEI RESIWATI, S.Pd.</v>
      </c>
      <c r="H5" s="88"/>
      <c r="I5" s="88"/>
      <c r="J5" s="88"/>
      <c r="K5" s="88"/>
      <c r="S5" s="120" t="s">
        <v>50</v>
      </c>
      <c r="T5" s="1">
        <v>50</v>
      </c>
    </row>
    <row r="6" ht="15.95" customHeight="1" spans="2:20">
      <c r="B6" s="64" t="s">
        <v>84</v>
      </c>
      <c r="C6" s="64"/>
      <c r="D6" s="64"/>
      <c r="F6" s="86" t="s">
        <v>12</v>
      </c>
      <c r="G6" s="87" t="str">
        <f>'FORMAT 1C'!G6</f>
        <v/>
      </c>
      <c r="H6" s="89"/>
      <c r="I6" s="89"/>
      <c r="J6" s="89"/>
      <c r="K6" s="89"/>
      <c r="S6" s="120" t="s">
        <v>51</v>
      </c>
      <c r="T6" s="1">
        <v>100</v>
      </c>
    </row>
    <row r="7" ht="15.95" customHeight="1" spans="2:20">
      <c r="B7" s="64" t="s">
        <v>23</v>
      </c>
      <c r="C7" s="64"/>
      <c r="D7" s="64"/>
      <c r="F7" s="86" t="s">
        <v>12</v>
      </c>
      <c r="G7" s="87" t="str">
        <f>'FORMAT 1C'!G7</f>
        <v>Cilacap, 12 Mei 1991</v>
      </c>
      <c r="H7" s="89"/>
      <c r="I7" s="89"/>
      <c r="J7" s="89"/>
      <c r="K7" s="89"/>
      <c r="S7" s="120" t="s">
        <v>52</v>
      </c>
      <c r="T7" s="1">
        <v>100</v>
      </c>
    </row>
    <row r="8" ht="15.95" customHeight="1" spans="2:20">
      <c r="B8" s="64" t="s">
        <v>27</v>
      </c>
      <c r="C8" s="64"/>
      <c r="D8" s="64"/>
      <c r="F8" s="86" t="s">
        <v>12</v>
      </c>
      <c r="G8" s="87" t="str">
        <f>'FORMAT 1C'!G8</f>
        <v>Guru Pertama, Penata Muda, III/a</v>
      </c>
      <c r="H8" s="89"/>
      <c r="I8" s="89"/>
      <c r="J8" s="89"/>
      <c r="K8" s="89"/>
      <c r="S8" s="120" t="s">
        <v>53</v>
      </c>
      <c r="T8" s="1">
        <v>150</v>
      </c>
    </row>
    <row r="9" ht="15.95" customHeight="1" spans="2:20">
      <c r="B9" s="64" t="s">
        <v>31</v>
      </c>
      <c r="C9" s="64"/>
      <c r="D9" s="64"/>
      <c r="F9" s="86" t="s">
        <v>12</v>
      </c>
      <c r="G9" s="90">
        <f>'FORMAT 1C'!G9</f>
        <v>43647</v>
      </c>
      <c r="H9" s="90"/>
      <c r="I9" s="90"/>
      <c r="J9" s="90"/>
      <c r="K9" s="90"/>
      <c r="S9" s="120" t="s">
        <v>54</v>
      </c>
      <c r="T9" s="1">
        <v>150</v>
      </c>
    </row>
    <row r="10" ht="15.95" customHeight="1" spans="2:20">
      <c r="B10" s="64" t="s">
        <v>34</v>
      </c>
      <c r="C10" s="64"/>
      <c r="D10" s="64"/>
      <c r="F10" s="86" t="s">
        <v>12</v>
      </c>
      <c r="G10" s="87" t="str">
        <f ca="1">'FORMAT 1C'!G10</f>
        <v>4 tahun 0 bulan </v>
      </c>
      <c r="H10" s="91"/>
      <c r="I10" s="91"/>
      <c r="J10" s="98"/>
      <c r="K10" s="91"/>
      <c r="S10" s="120" t="s">
        <v>55</v>
      </c>
      <c r="T10" s="1">
        <v>150</v>
      </c>
    </row>
    <row r="11" ht="15.95" customHeight="1" spans="2:20">
      <c r="B11" s="64" t="s">
        <v>37</v>
      </c>
      <c r="C11" s="64"/>
      <c r="D11" s="64"/>
      <c r="F11" s="86" t="s">
        <v>12</v>
      </c>
      <c r="G11" s="87" t="str">
        <f>'FORMAT 1C'!G11</f>
        <v>Perempuan</v>
      </c>
      <c r="H11" s="89"/>
      <c r="I11" s="89"/>
      <c r="J11" s="89"/>
      <c r="K11" s="89"/>
      <c r="R11" s="121">
        <f>VLOOKUP(G8,JENJANG,2,0)</f>
        <v>0</v>
      </c>
      <c r="S11" s="120" t="s">
        <v>56</v>
      </c>
      <c r="T11" s="1">
        <v>200</v>
      </c>
    </row>
    <row r="12" ht="15.95" customHeight="1" spans="2:11">
      <c r="B12" s="65" t="s">
        <v>41</v>
      </c>
      <c r="C12" s="64"/>
      <c r="D12" s="64"/>
      <c r="F12" s="86" t="s">
        <v>12</v>
      </c>
      <c r="G12" s="87" t="str">
        <f>'FORMAT 1C'!G12</f>
        <v>S1 Pendidikan  Matematika</v>
      </c>
      <c r="H12" s="89"/>
      <c r="I12" s="89"/>
      <c r="J12" s="89"/>
      <c r="K12" s="89"/>
    </row>
    <row r="13" ht="15.95" customHeight="1" spans="2:11">
      <c r="B13" s="66" t="s">
        <v>45</v>
      </c>
      <c r="C13" s="64"/>
      <c r="D13" s="64"/>
      <c r="F13" s="86" t="s">
        <v>12</v>
      </c>
      <c r="G13" s="87" t="str">
        <f>'FORMAT 1C'!G13</f>
        <v>Matematika</v>
      </c>
      <c r="H13" s="89"/>
      <c r="I13" s="89"/>
      <c r="J13" s="89"/>
      <c r="K13" s="89"/>
    </row>
    <row r="14" ht="15.95" customHeight="1" spans="1:11">
      <c r="A14" s="58" t="s">
        <v>85</v>
      </c>
      <c r="B14" s="64" t="s">
        <v>70</v>
      </c>
      <c r="C14" s="64"/>
      <c r="D14" s="64"/>
      <c r="F14" s="86" t="s">
        <v>12</v>
      </c>
      <c r="G14" s="87" t="str">
        <f>'FORMAT 1C'!G14</f>
        <v>SMPN 5 JAKARTA</v>
      </c>
      <c r="H14" s="89"/>
      <c r="I14" s="89"/>
      <c r="J14" s="89"/>
      <c r="K14" s="89"/>
    </row>
    <row r="15" ht="15.95" customHeight="1" spans="2:11">
      <c r="B15" s="64" t="s">
        <v>29</v>
      </c>
      <c r="C15" s="64"/>
      <c r="D15" s="64"/>
      <c r="F15" s="86" t="s">
        <v>12</v>
      </c>
      <c r="G15" s="87" t="str">
        <f>'FORMAT 1C'!G15</f>
        <v>021 - 3844986</v>
      </c>
      <c r="H15" s="89"/>
      <c r="I15" s="89"/>
      <c r="J15" s="89"/>
      <c r="K15" s="89"/>
    </row>
    <row r="16" ht="15.95" customHeight="1" spans="2:11">
      <c r="B16" s="64" t="s">
        <v>32</v>
      </c>
      <c r="C16" s="64"/>
      <c r="D16" s="64"/>
      <c r="F16" s="86" t="s">
        <v>12</v>
      </c>
      <c r="G16" s="87" t="str">
        <f>'FORMAT 1C'!G16</f>
        <v>Pasar  Baru</v>
      </c>
      <c r="H16" s="89"/>
      <c r="I16" s="89"/>
      <c r="J16" s="89"/>
      <c r="K16" s="89"/>
    </row>
    <row r="17" ht="15.95" customHeight="1" spans="2:11">
      <c r="B17" s="64" t="s">
        <v>35</v>
      </c>
      <c r="C17" s="64"/>
      <c r="D17" s="64"/>
      <c r="F17" s="86" t="s">
        <v>12</v>
      </c>
      <c r="G17" s="87" t="str">
        <f>'FORMAT 1C'!G17</f>
        <v>Sawah Besar</v>
      </c>
      <c r="H17" s="89"/>
      <c r="I17" s="89"/>
      <c r="J17" s="89"/>
      <c r="K17" s="89"/>
    </row>
    <row r="18" ht="15.95" customHeight="1" spans="2:11">
      <c r="B18" s="64" t="s">
        <v>39</v>
      </c>
      <c r="C18" s="64"/>
      <c r="D18" s="64"/>
      <c r="F18" s="86" t="s">
        <v>12</v>
      </c>
      <c r="G18" s="87" t="str">
        <f>'FORMAT 1C'!G18</f>
        <v>Jakarta - Pusat</v>
      </c>
      <c r="H18" s="89"/>
      <c r="I18" s="89"/>
      <c r="J18" s="89"/>
      <c r="K18" s="89"/>
    </row>
    <row r="19" ht="15.95" customHeight="1" spans="2:11">
      <c r="B19" s="64" t="s">
        <v>43</v>
      </c>
      <c r="C19" s="64"/>
      <c r="D19" s="64"/>
      <c r="F19" s="86" t="s">
        <v>12</v>
      </c>
      <c r="G19" s="87" t="str">
        <f>'FORMAT 1C'!G19</f>
        <v>DKI JAKARTA</v>
      </c>
      <c r="H19" s="89"/>
      <c r="I19" s="89"/>
      <c r="J19" s="89"/>
      <c r="K19" s="89"/>
    </row>
    <row r="21" ht="18.75" customHeight="1" spans="1:23">
      <c r="A21" s="67" t="s">
        <v>147</v>
      </c>
      <c r="B21" s="68"/>
      <c r="C21" s="68"/>
      <c r="D21" s="68"/>
      <c r="E21" s="68"/>
      <c r="F21" s="68"/>
      <c r="G21" s="68"/>
      <c r="H21" s="68"/>
      <c r="I21" s="68"/>
      <c r="J21" s="68"/>
      <c r="K21" s="68"/>
      <c r="L21" s="9">
        <f>'FORMAT 1C'!K40</f>
        <v>51</v>
      </c>
      <c r="N21" s="107" t="s">
        <v>148</v>
      </c>
      <c r="O21" s="108" t="s">
        <v>149</v>
      </c>
      <c r="P21" s="108"/>
      <c r="Q21" s="122" t="s">
        <v>144</v>
      </c>
      <c r="R21" s="122" t="s">
        <v>145</v>
      </c>
      <c r="S21" s="122"/>
      <c r="T21" s="122"/>
      <c r="U21" s="108" t="s">
        <v>146</v>
      </c>
      <c r="V21" s="122" t="s">
        <v>150</v>
      </c>
      <c r="W21" s="108" t="s">
        <v>151</v>
      </c>
    </row>
    <row r="22" ht="30.75" customHeight="1" spans="1:23">
      <c r="A22" s="69" t="s">
        <v>152</v>
      </c>
      <c r="B22" s="70"/>
      <c r="C22" s="70"/>
      <c r="D22" s="70"/>
      <c r="E22" s="70"/>
      <c r="F22" s="70"/>
      <c r="G22" s="70"/>
      <c r="H22" s="70"/>
      <c r="I22" s="70"/>
      <c r="J22" s="70"/>
      <c r="K22" s="70"/>
      <c r="L22" s="99">
        <f>(L21*100)/56</f>
        <v>91.0714285714286</v>
      </c>
      <c r="N22" s="109"/>
      <c r="O22" s="108"/>
      <c r="P22" s="108"/>
      <c r="Q22" s="122"/>
      <c r="R22" s="122" t="s">
        <v>153</v>
      </c>
      <c r="S22" s="122" t="s">
        <v>154</v>
      </c>
      <c r="T22" s="122" t="s">
        <v>155</v>
      </c>
      <c r="U22" s="108"/>
      <c r="V22" s="122"/>
      <c r="W22" s="108"/>
    </row>
    <row r="23" ht="18" customHeight="1" spans="1:23">
      <c r="A23" s="71"/>
      <c r="B23" s="72" t="s">
        <v>156</v>
      </c>
      <c r="C23" s="72"/>
      <c r="D23" s="73" t="s">
        <v>157</v>
      </c>
      <c r="E23" s="73"/>
      <c r="F23" s="73"/>
      <c r="G23" s="92" t="s">
        <v>158</v>
      </c>
      <c r="H23" s="93"/>
      <c r="I23" s="93"/>
      <c r="J23" s="93"/>
      <c r="K23" s="93"/>
      <c r="L23" s="100"/>
      <c r="N23" s="110">
        <v>4</v>
      </c>
      <c r="O23" s="111">
        <v>1</v>
      </c>
      <c r="P23" s="111" t="s">
        <v>159</v>
      </c>
      <c r="Q23" s="123">
        <v>50</v>
      </c>
      <c r="R23" s="124"/>
      <c r="S23" s="124"/>
      <c r="T23" s="124"/>
      <c r="U23" s="124"/>
      <c r="V23" s="123">
        <f t="shared" ref="V23:V30" si="0">Q23-R23-S23-T23-U23</f>
        <v>50</v>
      </c>
      <c r="W23" s="124">
        <v>5</v>
      </c>
    </row>
    <row r="24" ht="18" customHeight="1" spans="1:23">
      <c r="A24" s="74"/>
      <c r="B24" s="75"/>
      <c r="C24" s="75"/>
      <c r="D24" s="76" t="s">
        <v>160</v>
      </c>
      <c r="E24" s="76"/>
      <c r="F24" s="76"/>
      <c r="G24" s="94"/>
      <c r="H24" s="95"/>
      <c r="I24" s="95"/>
      <c r="J24" s="95"/>
      <c r="K24" s="95"/>
      <c r="L24" s="101"/>
      <c r="N24" s="110"/>
      <c r="O24" s="111">
        <v>2</v>
      </c>
      <c r="P24" s="111" t="s">
        <v>161</v>
      </c>
      <c r="Q24" s="123">
        <v>50</v>
      </c>
      <c r="R24" s="124"/>
      <c r="S24" s="124"/>
      <c r="T24" s="124"/>
      <c r="U24" s="124"/>
      <c r="V24" s="123">
        <f t="shared" si="0"/>
        <v>50</v>
      </c>
      <c r="W24" s="124">
        <v>5</v>
      </c>
    </row>
    <row r="25" ht="21.75" customHeight="1" spans="1:23">
      <c r="A25" s="69" t="s">
        <v>162</v>
      </c>
      <c r="B25" s="70"/>
      <c r="C25" s="70"/>
      <c r="D25" s="70"/>
      <c r="E25" s="70"/>
      <c r="F25" s="70"/>
      <c r="G25" s="70"/>
      <c r="H25" s="70"/>
      <c r="I25" s="70"/>
      <c r="J25" s="70"/>
      <c r="K25" s="102"/>
      <c r="L25" s="103">
        <f>IF(L21&lt;=50,0.25,IF(L21&lt;=60,0.5,IF(L21&lt;=75,0.75,IF(L21&lt;=90,1,1.25))))</f>
        <v>0.5</v>
      </c>
      <c r="N25" s="112" t="s">
        <v>163</v>
      </c>
      <c r="O25" s="111">
        <v>3</v>
      </c>
      <c r="P25" s="111" t="s">
        <v>164</v>
      </c>
      <c r="Q25" s="123">
        <v>100</v>
      </c>
      <c r="R25" s="124"/>
      <c r="S25" s="124"/>
      <c r="T25" s="124"/>
      <c r="U25" s="124"/>
      <c r="V25" s="123">
        <f t="shared" si="0"/>
        <v>100</v>
      </c>
      <c r="W25" s="124">
        <v>10</v>
      </c>
    </row>
    <row r="26" ht="30" customHeight="1" spans="1:23">
      <c r="A26" s="77"/>
      <c r="B26" s="78"/>
      <c r="C26" s="78"/>
      <c r="D26" s="78"/>
      <c r="E26" s="78"/>
      <c r="F26" s="78"/>
      <c r="G26" s="78"/>
      <c r="H26" s="78"/>
      <c r="I26" s="78"/>
      <c r="J26" s="78"/>
      <c r="K26" s="104"/>
      <c r="L26" s="105" t="str">
        <f>IF(L22&lt;=50,"Kurang",IF(L22&lt;=60,"Sedang",IF(L22&lt;=75,"Cukup",IF(L22&lt;=90,"Baik","Amat Baik"))))</f>
        <v>Amat Baik</v>
      </c>
      <c r="N26" s="113"/>
      <c r="O26" s="111">
        <v>4</v>
      </c>
      <c r="P26" s="111" t="s">
        <v>165</v>
      </c>
      <c r="Q26" s="123">
        <v>100</v>
      </c>
      <c r="R26" s="124"/>
      <c r="S26" s="124"/>
      <c r="T26" s="124"/>
      <c r="U26" s="124"/>
      <c r="V26" s="123">
        <f t="shared" si="0"/>
        <v>100</v>
      </c>
      <c r="W26" s="124">
        <v>10</v>
      </c>
    </row>
    <row r="27" ht="15" customHeight="1" spans="1:23">
      <c r="A27" s="69" t="s">
        <v>166</v>
      </c>
      <c r="B27" s="70"/>
      <c r="C27" s="70"/>
      <c r="D27" s="70"/>
      <c r="E27" s="70"/>
      <c r="F27" s="70"/>
      <c r="G27" s="70"/>
      <c r="H27" s="70"/>
      <c r="I27" s="70"/>
      <c r="J27" s="70"/>
      <c r="K27" s="102"/>
      <c r="L27" s="99">
        <f>(VLOOKUP(N23,O21:V31,8,0)*(IF(L26="KURANG",25%,IF(L26="SEDANG",50%,IF(L26="CUKUP",75%,IF(L26="BAIK",100%,125%))))))/4</f>
        <v>31.25</v>
      </c>
      <c r="N27" s="113"/>
      <c r="O27" s="111">
        <v>5</v>
      </c>
      <c r="P27" s="111" t="s">
        <v>167</v>
      </c>
      <c r="Q27" s="123">
        <v>150</v>
      </c>
      <c r="R27" s="124"/>
      <c r="S27" s="124"/>
      <c r="T27" s="124"/>
      <c r="U27" s="124"/>
      <c r="V27" s="123">
        <f t="shared" si="0"/>
        <v>150</v>
      </c>
      <c r="W27" s="124">
        <v>15</v>
      </c>
    </row>
    <row r="28" spans="1:23">
      <c r="A28" s="79"/>
      <c r="B28" s="80"/>
      <c r="C28" s="80"/>
      <c r="D28" s="80"/>
      <c r="E28" s="80"/>
      <c r="F28" s="80"/>
      <c r="G28" s="80"/>
      <c r="H28" s="80"/>
      <c r="I28" s="80"/>
      <c r="J28" s="80"/>
      <c r="K28" s="106"/>
      <c r="L28" s="100"/>
      <c r="N28" s="113"/>
      <c r="O28" s="111">
        <v>6</v>
      </c>
      <c r="P28" s="111" t="s">
        <v>168</v>
      </c>
      <c r="Q28" s="123">
        <v>150</v>
      </c>
      <c r="R28" s="124"/>
      <c r="S28" s="124"/>
      <c r="T28" s="124"/>
      <c r="U28" s="124"/>
      <c r="V28" s="123">
        <f t="shared" si="0"/>
        <v>150</v>
      </c>
      <c r="W28" s="124">
        <v>15</v>
      </c>
    </row>
    <row r="29" ht="15.75" customHeight="1" spans="1:23">
      <c r="A29" s="81" t="s">
        <v>169</v>
      </c>
      <c r="B29" s="82"/>
      <c r="C29" s="82"/>
      <c r="D29" s="82"/>
      <c r="E29" s="73" t="s">
        <v>170</v>
      </c>
      <c r="F29" s="73"/>
      <c r="G29" s="73"/>
      <c r="H29" s="73"/>
      <c r="I29" s="73"/>
      <c r="J29" s="73"/>
      <c r="K29" s="93"/>
      <c r="L29" s="100"/>
      <c r="N29" s="113"/>
      <c r="O29" s="111">
        <v>7</v>
      </c>
      <c r="P29" s="111" t="s">
        <v>171</v>
      </c>
      <c r="Q29" s="123">
        <v>150</v>
      </c>
      <c r="R29" s="124"/>
      <c r="S29" s="124"/>
      <c r="T29" s="124"/>
      <c r="U29" s="124"/>
      <c r="V29" s="123">
        <f t="shared" si="0"/>
        <v>150</v>
      </c>
      <c r="W29" s="124">
        <v>15</v>
      </c>
    </row>
    <row r="30" ht="15" customHeight="1" spans="1:23">
      <c r="A30" s="83"/>
      <c r="B30" s="84"/>
      <c r="C30" s="84"/>
      <c r="D30" s="84"/>
      <c r="E30" s="96">
        <v>4</v>
      </c>
      <c r="F30" s="96"/>
      <c r="G30" s="96"/>
      <c r="H30" s="96"/>
      <c r="I30" s="96"/>
      <c r="J30" s="96"/>
      <c r="K30" s="95"/>
      <c r="L30" s="101"/>
      <c r="N30" s="113"/>
      <c r="O30" s="111">
        <v>8</v>
      </c>
      <c r="P30" s="111" t="s">
        <v>172</v>
      </c>
      <c r="Q30" s="123">
        <v>200</v>
      </c>
      <c r="R30" s="124"/>
      <c r="S30" s="124"/>
      <c r="T30" s="124"/>
      <c r="U30" s="124"/>
      <c r="V30" s="123">
        <f t="shared" si="0"/>
        <v>200</v>
      </c>
      <c r="W30" s="124">
        <v>20</v>
      </c>
    </row>
    <row r="31" ht="15" customHeight="1" spans="14:23">
      <c r="N31" s="114"/>
      <c r="O31" s="115">
        <v>9</v>
      </c>
      <c r="P31" s="116" t="s">
        <v>173</v>
      </c>
      <c r="Q31" s="125"/>
      <c r="R31" s="126"/>
      <c r="S31" s="126"/>
      <c r="T31" s="126"/>
      <c r="U31" s="126"/>
      <c r="V31" s="125"/>
      <c r="W31" s="126"/>
    </row>
    <row r="33" spans="10:13">
      <c r="J33" s="41" t="str">
        <f>'FORMAT 1C'!J42</f>
        <v>Jakarta,</v>
      </c>
      <c r="K33" s="31" t="str">
        <f>'FORMAT 1C'!K42</f>
        <v>20 September 2019</v>
      </c>
      <c r="L33" s="31"/>
      <c r="M33" s="36"/>
    </row>
    <row r="34" spans="18:21">
      <c r="R34" s="19" t="s">
        <v>174</v>
      </c>
      <c r="S34" s="19"/>
      <c r="T34" s="19"/>
      <c r="U34" s="19"/>
    </row>
    <row r="35" ht="15.75" customHeight="1" spans="1:13">
      <c r="A35" s="85" t="s">
        <v>139</v>
      </c>
      <c r="B35" s="85"/>
      <c r="C35" s="85"/>
      <c r="D35" s="85"/>
      <c r="E35" s="85" t="s">
        <v>140</v>
      </c>
      <c r="F35" s="85"/>
      <c r="G35" s="85"/>
      <c r="H35" s="85"/>
      <c r="I35" s="85" t="s">
        <v>141</v>
      </c>
      <c r="J35" s="85"/>
      <c r="K35" s="85"/>
      <c r="L35" s="85"/>
      <c r="M35" s="117"/>
    </row>
    <row r="40" spans="1:13">
      <c r="A40" s="20" t="str">
        <f>'FORMAT 1C'!A49:D49</f>
        <v>KHARISMA MEI RESIWATI, S.Pd.</v>
      </c>
      <c r="B40" s="20"/>
      <c r="C40" s="20"/>
      <c r="D40" s="20"/>
      <c r="E40" s="20" t="str">
        <f>'FORMAT 1C'!E49:H49</f>
        <v>BAHRUDIN,S.Pd,M.M</v>
      </c>
      <c r="F40" s="20"/>
      <c r="G40" s="20"/>
      <c r="H40" s="20"/>
      <c r="I40" s="20" t="str">
        <f>'FORMAT 1C'!J49</f>
        <v>BAHRUDIN,S.Pd, M.M</v>
      </c>
      <c r="J40" s="20"/>
      <c r="K40" s="20"/>
      <c r="L40" s="20"/>
      <c r="M40" s="118"/>
    </row>
    <row r="41" ht="15" customHeight="1" spans="1:13">
      <c r="A41" s="19" t="str">
        <f>'FORMAT 1C'!A50:D50</f>
        <v>NIP </v>
      </c>
      <c r="B41" s="19"/>
      <c r="C41" s="19"/>
      <c r="D41" s="19"/>
      <c r="E41" s="19" t="str">
        <f>'FORMAT 1C'!E50:H50</f>
        <v>NIP 196307191989031007</v>
      </c>
      <c r="F41" s="19"/>
      <c r="G41" s="19"/>
      <c r="H41" s="19"/>
      <c r="I41" s="19" t="str">
        <f>'FORMAT 1C'!J50</f>
        <v>NIP 196307191989031007</v>
      </c>
      <c r="J41" s="19"/>
      <c r="K41" s="19"/>
      <c r="L41" s="19"/>
      <c r="M41" s="119"/>
    </row>
  </sheetData>
  <sheetProtection password="CEC8" sheet="1" objects="1" scenarios="1"/>
  <protectedRanges>
    <protectedRange sqref="N23:N24" name="Range1_1_2"/>
  </protectedRanges>
  <mergeCells count="35">
    <mergeCell ref="J2:K2"/>
    <mergeCell ref="A3:L3"/>
    <mergeCell ref="G9:K9"/>
    <mergeCell ref="R21:T21"/>
    <mergeCell ref="A22:K22"/>
    <mergeCell ref="D23:F23"/>
    <mergeCell ref="D24:F24"/>
    <mergeCell ref="E29:J29"/>
    <mergeCell ref="E30:J30"/>
    <mergeCell ref="K33:L33"/>
    <mergeCell ref="R34:U34"/>
    <mergeCell ref="A35:D35"/>
    <mergeCell ref="E35:H35"/>
    <mergeCell ref="I35:L35"/>
    <mergeCell ref="A40:D40"/>
    <mergeCell ref="E40:H40"/>
    <mergeCell ref="I40:L40"/>
    <mergeCell ref="A41:D41"/>
    <mergeCell ref="E41:H41"/>
    <mergeCell ref="I41:L41"/>
    <mergeCell ref="G23:G24"/>
    <mergeCell ref="L22:L24"/>
    <mergeCell ref="L27:L30"/>
    <mergeCell ref="N21:N22"/>
    <mergeCell ref="N23:N24"/>
    <mergeCell ref="N25:N31"/>
    <mergeCell ref="Q21:Q22"/>
    <mergeCell ref="U21:U22"/>
    <mergeCell ref="V21:V22"/>
    <mergeCell ref="W21:W22"/>
    <mergeCell ref="A27:K28"/>
    <mergeCell ref="A29:D30"/>
    <mergeCell ref="A25:K26"/>
    <mergeCell ref="B23:C24"/>
    <mergeCell ref="O21:P22"/>
  </mergeCells>
  <pageMargins left="0.61" right="0.25" top="0.75" bottom="0.75" header="0.3" footer="0.53"/>
  <pageSetup paperSize="9" orientation="portrait"/>
  <headerFooter>
    <oddFooter>&amp;RCreated by © prie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N24"/>
  <sheetViews>
    <sheetView view="pageBreakPreview" zoomScale="115" zoomScaleNormal="100" workbookViewId="0">
      <selection activeCell="I4" sqref="I4"/>
    </sheetView>
  </sheetViews>
  <sheetFormatPr defaultColWidth="9.14166666666667" defaultRowHeight="14.25"/>
  <cols>
    <col min="1" max="1" width="4" style="46" customWidth="1"/>
    <col min="2" max="2" width="25" style="46" customWidth="1"/>
    <col min="3" max="7" width="7.28333333333333" style="46" customWidth="1"/>
    <col min="8" max="10" width="6.70833333333333" style="46" customWidth="1"/>
    <col min="11" max="11" width="5.28333333333333" style="46" hidden="1" customWidth="1"/>
    <col min="12" max="12" width="0.141666666666667" style="46" hidden="1" customWidth="1"/>
    <col min="13" max="13" width="4.85833333333333" style="46" hidden="1" customWidth="1"/>
    <col min="14" max="14" width="5.14166666666667" style="46" customWidth="1"/>
    <col min="15" max="16384" width="9.14166666666667" style="46"/>
  </cols>
  <sheetData>
    <row r="1" ht="33" customHeight="1" spans="1:14">
      <c r="A1" s="47" t="s">
        <v>175</v>
      </c>
      <c r="B1" s="47"/>
      <c r="C1" s="47"/>
      <c r="D1" s="47"/>
      <c r="E1" s="47"/>
      <c r="F1" s="47"/>
      <c r="G1" s="47"/>
      <c r="H1" s="47"/>
      <c r="I1" s="47"/>
      <c r="J1" s="47"/>
      <c r="K1" s="1"/>
      <c r="L1" s="1"/>
      <c r="M1" s="1"/>
      <c r="N1" s="1"/>
    </row>
    <row r="2" s="45" customFormat="1" spans="1:14">
      <c r="A2" s="48" t="s">
        <v>92</v>
      </c>
      <c r="B2" s="4" t="s">
        <v>176</v>
      </c>
      <c r="C2" s="5"/>
      <c r="D2" s="5"/>
      <c r="E2" s="5"/>
      <c r="F2" s="5"/>
      <c r="G2" s="3"/>
      <c r="H2" s="21" t="s">
        <v>177</v>
      </c>
      <c r="I2" s="21"/>
      <c r="J2" s="21"/>
      <c r="K2" s="56"/>
      <c r="L2" s="56"/>
      <c r="M2" s="56"/>
      <c r="N2" s="56"/>
    </row>
    <row r="3" s="45" customFormat="1" spans="1:14">
      <c r="A3" s="49"/>
      <c r="B3" s="7"/>
      <c r="C3" s="8"/>
      <c r="D3" s="8"/>
      <c r="E3" s="8"/>
      <c r="F3" s="8"/>
      <c r="G3" s="6"/>
      <c r="H3" s="22">
        <v>0</v>
      </c>
      <c r="I3" s="22">
        <v>1</v>
      </c>
      <c r="J3" s="22">
        <v>2</v>
      </c>
      <c r="K3" s="57"/>
      <c r="L3" s="56"/>
      <c r="M3" s="56"/>
      <c r="N3" s="56"/>
    </row>
    <row r="4" ht="33" customHeight="1" spans="1:14">
      <c r="A4" s="268" t="s">
        <v>95</v>
      </c>
      <c r="B4" s="10" t="s">
        <v>178</v>
      </c>
      <c r="C4" s="11"/>
      <c r="D4" s="11"/>
      <c r="E4" s="11"/>
      <c r="F4" s="11"/>
      <c r="G4" s="23"/>
      <c r="H4" s="24"/>
      <c r="I4" s="24" t="s">
        <v>179</v>
      </c>
      <c r="J4" s="24"/>
      <c r="K4" s="58"/>
      <c r="L4" s="1"/>
      <c r="M4" s="1"/>
      <c r="N4" s="1"/>
    </row>
    <row r="5" ht="48.75" customHeight="1" spans="1:14">
      <c r="A5" s="268" t="s">
        <v>98</v>
      </c>
      <c r="B5" s="10" t="s">
        <v>180</v>
      </c>
      <c r="C5" s="11"/>
      <c r="D5" s="11"/>
      <c r="E5" s="11"/>
      <c r="F5" s="11"/>
      <c r="G5" s="23"/>
      <c r="H5" s="24"/>
      <c r="I5" s="24"/>
      <c r="J5" s="24" t="s">
        <v>179</v>
      </c>
      <c r="K5" s="58"/>
      <c r="L5" s="1"/>
      <c r="M5" s="1"/>
      <c r="N5" s="1"/>
    </row>
    <row r="6" ht="60.75" customHeight="1" spans="1:14">
      <c r="A6" s="268" t="s">
        <v>101</v>
      </c>
      <c r="B6" s="10" t="s">
        <v>181</v>
      </c>
      <c r="C6" s="11"/>
      <c r="D6" s="11"/>
      <c r="E6" s="11"/>
      <c r="F6" s="11"/>
      <c r="G6" s="23"/>
      <c r="H6" s="24"/>
      <c r="I6" s="24"/>
      <c r="J6" s="24" t="s">
        <v>179</v>
      </c>
      <c r="K6" s="58"/>
      <c r="L6" s="1"/>
      <c r="M6" s="1"/>
      <c r="N6" s="1"/>
    </row>
    <row r="7" ht="46.5" customHeight="1" spans="1:14">
      <c r="A7" s="268" t="s">
        <v>104</v>
      </c>
      <c r="B7" s="10" t="s">
        <v>182</v>
      </c>
      <c r="C7" s="11"/>
      <c r="D7" s="11"/>
      <c r="E7" s="11"/>
      <c r="F7" s="11"/>
      <c r="G7" s="23"/>
      <c r="H7" s="24"/>
      <c r="I7" s="24" t="s">
        <v>179</v>
      </c>
      <c r="J7" s="24"/>
      <c r="K7" s="58"/>
      <c r="L7" s="1"/>
      <c r="M7" s="1"/>
      <c r="N7" s="1"/>
    </row>
    <row r="8" ht="45" customHeight="1" spans="1:14">
      <c r="A8" s="268" t="s">
        <v>107</v>
      </c>
      <c r="B8" s="10" t="s">
        <v>183</v>
      </c>
      <c r="C8" s="11"/>
      <c r="D8" s="11"/>
      <c r="E8" s="11"/>
      <c r="F8" s="11"/>
      <c r="G8" s="23"/>
      <c r="H8" s="24"/>
      <c r="I8" s="24" t="s">
        <v>179</v>
      </c>
      <c r="J8" s="24"/>
      <c r="K8" s="58"/>
      <c r="L8" s="1"/>
      <c r="M8" s="1"/>
      <c r="N8" s="1"/>
    </row>
    <row r="9" ht="34.5" customHeight="1" spans="1:14">
      <c r="A9" s="268" t="s">
        <v>110</v>
      </c>
      <c r="B9" s="10" t="s">
        <v>184</v>
      </c>
      <c r="C9" s="11"/>
      <c r="D9" s="11"/>
      <c r="E9" s="11"/>
      <c r="F9" s="11"/>
      <c r="G9" s="23"/>
      <c r="H9" s="24"/>
      <c r="I9" s="24"/>
      <c r="J9" s="24" t="s">
        <v>179</v>
      </c>
      <c r="K9" s="58"/>
      <c r="L9" s="1"/>
      <c r="M9" s="1"/>
      <c r="N9" s="1"/>
    </row>
    <row r="10" ht="15" customHeight="1" spans="1:14">
      <c r="A10" s="50" t="s">
        <v>185</v>
      </c>
      <c r="B10" s="51"/>
      <c r="C10" s="51"/>
      <c r="D10" s="51"/>
      <c r="E10" s="51"/>
      <c r="F10" s="51"/>
      <c r="G10" s="53"/>
      <c r="H10" s="26">
        <f>SUM(K10:M10)</f>
        <v>9</v>
      </c>
      <c r="I10" s="32"/>
      <c r="J10" s="33"/>
      <c r="K10" s="1">
        <f>COUNTIF(H4:H9,"v")</f>
        <v>0</v>
      </c>
      <c r="L10" s="1">
        <f>COUNTIF(I4:I9,"v")</f>
        <v>3</v>
      </c>
      <c r="M10" s="1">
        <f>COUNTIF(J4:J9,"v")*2</f>
        <v>6</v>
      </c>
      <c r="N10" s="1"/>
    </row>
    <row r="11" ht="18" customHeight="1" spans="1:14">
      <c r="A11" s="12" t="s">
        <v>186</v>
      </c>
      <c r="B11" s="13"/>
      <c r="C11" s="13"/>
      <c r="D11" s="13"/>
      <c r="E11" s="13"/>
      <c r="F11" s="13"/>
      <c r="G11" s="25"/>
      <c r="H11" s="26">
        <v>12</v>
      </c>
      <c r="I11" s="32"/>
      <c r="J11" s="33"/>
      <c r="K11" s="1"/>
      <c r="L11" s="1"/>
      <c r="M11" s="1"/>
      <c r="N11" s="1"/>
    </row>
    <row r="12" spans="1:14">
      <c r="A12" s="12" t="s">
        <v>187</v>
      </c>
      <c r="B12" s="13"/>
      <c r="C12" s="13"/>
      <c r="D12" s="13"/>
      <c r="E12" s="13"/>
      <c r="F12" s="13"/>
      <c r="G12" s="25"/>
      <c r="H12" s="27">
        <f>H10/H11</f>
        <v>0.75</v>
      </c>
      <c r="I12" s="34"/>
      <c r="J12" s="35"/>
      <c r="K12" s="1"/>
      <c r="L12" s="1"/>
      <c r="M12" s="1"/>
      <c r="N12" s="1"/>
    </row>
    <row r="13" spans="1:14">
      <c r="A13" s="14" t="s">
        <v>188</v>
      </c>
      <c r="B13" s="15"/>
      <c r="C13" s="15"/>
      <c r="D13" s="15"/>
      <c r="E13" s="15"/>
      <c r="F13" s="15"/>
      <c r="G13" s="28"/>
      <c r="H13" s="54">
        <f>IF(H12&lt;=0.25,1,IF(H12&lt;=0.5,2,IF(H12&lt;=0.75,3,4)))</f>
        <v>3</v>
      </c>
      <c r="I13" s="59"/>
      <c r="J13" s="60"/>
      <c r="K13" s="1"/>
      <c r="L13" s="1"/>
      <c r="M13" s="1"/>
      <c r="N13" s="1"/>
    </row>
    <row r="14" ht="29.25" customHeight="1" spans="1:14">
      <c r="A14" s="269" t="s">
        <v>189</v>
      </c>
      <c r="B14" s="17"/>
      <c r="C14" s="17"/>
      <c r="D14" s="17"/>
      <c r="E14" s="17"/>
      <c r="F14" s="17"/>
      <c r="G14" s="29"/>
      <c r="H14" s="55"/>
      <c r="I14" s="61"/>
      <c r="J14" s="62"/>
      <c r="K14" s="1"/>
      <c r="L14" s="1"/>
      <c r="M14" s="1"/>
      <c r="N14" s="1"/>
    </row>
    <row r="15" spans="2:7">
      <c r="B15" s="52"/>
      <c r="C15" s="52"/>
      <c r="D15" s="52"/>
      <c r="E15" s="52"/>
      <c r="F15" s="52"/>
      <c r="G15" s="52"/>
    </row>
    <row r="16" s="1" customFormat="1" spans="6:10">
      <c r="F16" s="41" t="str">
        <f>'FORMAT 1D'!J33</f>
        <v>Jakarta,</v>
      </c>
      <c r="G16" s="31" t="str">
        <f>'FORMAT 1D'!K33</f>
        <v>20 September 2019</v>
      </c>
      <c r="H16" s="31"/>
      <c r="I16" s="31"/>
      <c r="J16" s="31"/>
    </row>
    <row r="17" s="1" customFormat="1"/>
    <row r="18" s="1" customFormat="1" spans="1:10">
      <c r="A18" s="19" t="s">
        <v>139</v>
      </c>
      <c r="B18" s="19"/>
      <c r="C18" s="19" t="s">
        <v>140</v>
      </c>
      <c r="D18" s="19"/>
      <c r="E18" s="19"/>
      <c r="F18" s="19"/>
      <c r="G18" s="19" t="s">
        <v>141</v>
      </c>
      <c r="H18" s="19"/>
      <c r="I18" s="19"/>
      <c r="J18" s="19"/>
    </row>
    <row r="19" s="1" customFormat="1"/>
    <row r="20" s="1" customFormat="1"/>
    <row r="21" s="1" customFormat="1"/>
    <row r="22" s="1" customFormat="1"/>
    <row r="23" s="1" customFormat="1" spans="1:10">
      <c r="A23" s="20" t="str">
        <f>'FORMAT 1D'!A40</f>
        <v>KHARISMA MEI RESIWATI, S.Pd.</v>
      </c>
      <c r="B23" s="20"/>
      <c r="C23" s="20" t="str">
        <f>'FORMAT 1D'!E40</f>
        <v>BAHRUDIN,S.Pd,M.M</v>
      </c>
      <c r="D23" s="20"/>
      <c r="E23" s="20"/>
      <c r="F23" s="20"/>
      <c r="G23" s="20" t="str">
        <f>'FORMAT 1D'!I40</f>
        <v>BAHRUDIN,S.Pd, M.M</v>
      </c>
      <c r="H23" s="20"/>
      <c r="I23" s="20"/>
      <c r="J23" s="20"/>
    </row>
    <row r="24" s="1" customFormat="1" spans="1:10">
      <c r="A24" s="19" t="str">
        <f>'FORMAT 1D'!A41</f>
        <v>NIP </v>
      </c>
      <c r="B24" s="19"/>
      <c r="C24" s="19" t="str">
        <f>'FORMAT 1D'!E41</f>
        <v>NIP 196307191989031007</v>
      </c>
      <c r="D24" s="19"/>
      <c r="E24" s="19"/>
      <c r="F24" s="19"/>
      <c r="G24" s="19" t="str">
        <f>'FORMAT 1D'!I41</f>
        <v>NIP 196307191989031007</v>
      </c>
      <c r="H24" s="19"/>
      <c r="I24" s="19"/>
      <c r="J24" s="19"/>
    </row>
  </sheetData>
  <sheetProtection password="CEC8" sheet="1" objects="1" scenarios="1"/>
  <mergeCells count="29">
    <mergeCell ref="A1:J1"/>
    <mergeCell ref="H2:J2"/>
    <mergeCell ref="B4:G4"/>
    <mergeCell ref="B5:G5"/>
    <mergeCell ref="B6:G6"/>
    <mergeCell ref="B7:G7"/>
    <mergeCell ref="B8:G8"/>
    <mergeCell ref="B9:G9"/>
    <mergeCell ref="A10:G10"/>
    <mergeCell ref="H10:J10"/>
    <mergeCell ref="A11:G11"/>
    <mergeCell ref="H11:J11"/>
    <mergeCell ref="A12:G12"/>
    <mergeCell ref="H12:J12"/>
    <mergeCell ref="A13:G13"/>
    <mergeCell ref="A14:G14"/>
    <mergeCell ref="G16:J16"/>
    <mergeCell ref="A18:B18"/>
    <mergeCell ref="C18:F18"/>
    <mergeCell ref="G18:J18"/>
    <mergeCell ref="A23:B23"/>
    <mergeCell ref="C23:F23"/>
    <mergeCell ref="G23:J23"/>
    <mergeCell ref="A24:B24"/>
    <mergeCell ref="C24:F24"/>
    <mergeCell ref="G24:J24"/>
    <mergeCell ref="A2:A3"/>
    <mergeCell ref="B2:G3"/>
    <mergeCell ref="H13:J14"/>
  </mergeCells>
  <pageMargins left="1.08" right="0.39" top="0.748031496062992" bottom="1.1" header="0.31496062992126" footer="0.82"/>
  <pageSetup paperSize="9" orientation="portrait"/>
  <headerFooter>
    <oddFooter>&amp;RCreated by © prie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M21"/>
  <sheetViews>
    <sheetView showGridLines="0" view="pageBreakPreview" zoomScale="115" zoomScaleNormal="100" workbookViewId="0">
      <selection activeCell="A1" sqref="A1:J1"/>
    </sheetView>
  </sheetViews>
  <sheetFormatPr defaultColWidth="9.14166666666667" defaultRowHeight="14.25"/>
  <cols>
    <col min="1" max="1" width="4" style="1" customWidth="1"/>
    <col min="2" max="2" width="25" style="1" customWidth="1"/>
    <col min="3" max="7" width="7.28333333333333" style="1" customWidth="1"/>
    <col min="8" max="9" width="6.70833333333333" style="1" customWidth="1"/>
    <col min="10" max="10" width="6.56666666666667" style="1" customWidth="1"/>
    <col min="11" max="11" width="0.141666666666667" style="1" hidden="1" customWidth="1"/>
    <col min="12" max="12" width="6.14166666666667" style="1" hidden="1" customWidth="1"/>
    <col min="13" max="13" width="4" style="1" hidden="1" customWidth="1"/>
    <col min="14" max="16384" width="9.14166666666667" style="1"/>
  </cols>
  <sheetData>
    <row r="1" ht="33" customHeight="1" spans="1:10">
      <c r="A1" s="44" t="s">
        <v>190</v>
      </c>
      <c r="B1" s="44"/>
      <c r="C1" s="44"/>
      <c r="D1" s="44"/>
      <c r="E1" s="44"/>
      <c r="F1" s="44"/>
      <c r="G1" s="44"/>
      <c r="H1" s="44"/>
      <c r="I1" s="44"/>
      <c r="J1" s="44"/>
    </row>
    <row r="2" spans="1:10">
      <c r="A2" s="42" t="s">
        <v>92</v>
      </c>
      <c r="B2" s="4" t="s">
        <v>176</v>
      </c>
      <c r="C2" s="5"/>
      <c r="D2" s="5"/>
      <c r="E2" s="5"/>
      <c r="F2" s="5"/>
      <c r="G2" s="3"/>
      <c r="H2" s="21" t="s">
        <v>177</v>
      </c>
      <c r="I2" s="21"/>
      <c r="J2" s="21"/>
    </row>
    <row r="3" spans="1:10">
      <c r="A3" s="43"/>
      <c r="B3" s="7"/>
      <c r="C3" s="8"/>
      <c r="D3" s="8"/>
      <c r="E3" s="8"/>
      <c r="F3" s="8"/>
      <c r="G3" s="6"/>
      <c r="H3" s="22">
        <v>0</v>
      </c>
      <c r="I3" s="22">
        <v>1</v>
      </c>
      <c r="J3" s="22">
        <v>2</v>
      </c>
    </row>
    <row r="4" ht="74.25" customHeight="1" spans="1:10">
      <c r="A4" s="268" t="s">
        <v>95</v>
      </c>
      <c r="B4" s="10" t="s">
        <v>191</v>
      </c>
      <c r="C4" s="11"/>
      <c r="D4" s="11"/>
      <c r="E4" s="11"/>
      <c r="F4" s="11"/>
      <c r="G4" s="23"/>
      <c r="H4" s="24"/>
      <c r="I4" s="24" t="s">
        <v>179</v>
      </c>
      <c r="J4" s="24"/>
    </row>
    <row r="5" ht="32.25" customHeight="1" spans="1:10">
      <c r="A5" s="268" t="s">
        <v>98</v>
      </c>
      <c r="B5" s="10" t="s">
        <v>192</v>
      </c>
      <c r="C5" s="11"/>
      <c r="D5" s="11"/>
      <c r="E5" s="11"/>
      <c r="F5" s="11"/>
      <c r="G5" s="23"/>
      <c r="H5" s="24"/>
      <c r="I5" s="24"/>
      <c r="J5" s="24" t="s">
        <v>179</v>
      </c>
    </row>
    <row r="6" ht="60" customHeight="1" spans="1:10">
      <c r="A6" s="268" t="s">
        <v>101</v>
      </c>
      <c r="B6" s="10" t="s">
        <v>193</v>
      </c>
      <c r="C6" s="11"/>
      <c r="D6" s="11"/>
      <c r="E6" s="11"/>
      <c r="F6" s="11"/>
      <c r="G6" s="23"/>
      <c r="H6" s="24"/>
      <c r="I6" s="24"/>
      <c r="J6" s="24" t="s">
        <v>179</v>
      </c>
    </row>
    <row r="7" ht="15" customHeight="1" spans="1:13">
      <c r="A7" s="12" t="s">
        <v>194</v>
      </c>
      <c r="B7" s="13"/>
      <c r="C7" s="13"/>
      <c r="D7" s="13"/>
      <c r="E7" s="13"/>
      <c r="F7" s="13"/>
      <c r="G7" s="25"/>
      <c r="H7" s="26">
        <f>SUM(K7:M7)</f>
        <v>5</v>
      </c>
      <c r="I7" s="32"/>
      <c r="J7" s="33"/>
      <c r="K7" s="1">
        <f>COUNTIF(H4:H6,"v")</f>
        <v>0</v>
      </c>
      <c r="L7" s="1">
        <f t="shared" ref="L7" si="0">COUNTIF(I4:I6,"v")</f>
        <v>1</v>
      </c>
      <c r="M7" s="1">
        <f>COUNTIF(J4:J6,"v")*2</f>
        <v>4</v>
      </c>
    </row>
    <row r="8" ht="18" customHeight="1" spans="1:10">
      <c r="A8" s="12" t="s">
        <v>195</v>
      </c>
      <c r="B8" s="13"/>
      <c r="C8" s="13"/>
      <c r="D8" s="13"/>
      <c r="E8" s="13"/>
      <c r="F8" s="13"/>
      <c r="G8" s="25"/>
      <c r="H8" s="26">
        <v>6</v>
      </c>
      <c r="I8" s="32"/>
      <c r="J8" s="33"/>
    </row>
    <row r="9" spans="1:10">
      <c r="A9" s="12" t="s">
        <v>196</v>
      </c>
      <c r="B9" s="13"/>
      <c r="C9" s="13"/>
      <c r="D9" s="13"/>
      <c r="E9" s="13"/>
      <c r="F9" s="13"/>
      <c r="G9" s="25"/>
      <c r="H9" s="27">
        <f>H7/H8</f>
        <v>0.833333333333333</v>
      </c>
      <c r="I9" s="34"/>
      <c r="J9" s="35"/>
    </row>
    <row r="10" spans="1:10">
      <c r="A10" s="14" t="s">
        <v>197</v>
      </c>
      <c r="B10" s="15"/>
      <c r="C10" s="15"/>
      <c r="D10" s="15"/>
      <c r="E10" s="15"/>
      <c r="F10" s="15"/>
      <c r="G10" s="28"/>
      <c r="H10" s="4">
        <f>IF(H9&lt;=0.25,1,IF(H9&lt;=0.5,2,IF(H9&lt;=0.75,3,4)))</f>
        <v>4</v>
      </c>
      <c r="I10" s="5"/>
      <c r="J10" s="3"/>
    </row>
    <row r="11" ht="29.25" customHeight="1" spans="1:10">
      <c r="A11" s="269" t="s">
        <v>198</v>
      </c>
      <c r="B11" s="17"/>
      <c r="C11" s="17"/>
      <c r="D11" s="17"/>
      <c r="E11" s="17"/>
      <c r="F11" s="17"/>
      <c r="G11" s="29"/>
      <c r="H11" s="7"/>
      <c r="I11" s="8"/>
      <c r="J11" s="6"/>
    </row>
    <row r="13" spans="6:9">
      <c r="F13" s="41" t="str">
        <f>'KOMP-14'!F16</f>
        <v>Jakarta,</v>
      </c>
      <c r="G13" s="31" t="str">
        <f>'KOMP-14'!G16:J16</f>
        <v>20 September 2019</v>
      </c>
      <c r="H13" s="31"/>
      <c r="I13" s="31"/>
    </row>
    <row r="15" spans="1:10">
      <c r="A15" s="19" t="s">
        <v>139</v>
      </c>
      <c r="B15" s="19"/>
      <c r="C15" s="19" t="s">
        <v>140</v>
      </c>
      <c r="D15" s="19"/>
      <c r="E15" s="19"/>
      <c r="F15" s="19"/>
      <c r="G15" s="19" t="s">
        <v>141</v>
      </c>
      <c r="H15" s="19"/>
      <c r="I15" s="19"/>
      <c r="J15" s="19"/>
    </row>
    <row r="20" spans="1:10">
      <c r="A20" s="20" t="str">
        <f>'KOMP-14'!A23</f>
        <v>KHARISMA MEI RESIWATI, S.Pd.</v>
      </c>
      <c r="B20" s="20"/>
      <c r="C20" s="20" t="str">
        <f>'KOMP-14'!C23</f>
        <v>BAHRUDIN,S.Pd,M.M</v>
      </c>
      <c r="D20" s="20"/>
      <c r="E20" s="20"/>
      <c r="F20" s="20"/>
      <c r="G20" s="20" t="str">
        <f>'KOMP-14'!G23</f>
        <v>BAHRUDIN,S.Pd, M.M</v>
      </c>
      <c r="H20" s="20"/>
      <c r="I20" s="20"/>
      <c r="J20" s="20"/>
    </row>
    <row r="21" spans="1:10">
      <c r="A21" s="19" t="str">
        <f>'KOMP-14'!A24</f>
        <v>NIP </v>
      </c>
      <c r="B21" s="19"/>
      <c r="C21" s="19" t="str">
        <f>'KOMP-14'!C24</f>
        <v>NIP 196307191989031007</v>
      </c>
      <c r="D21" s="19"/>
      <c r="E21" s="19"/>
      <c r="F21" s="19"/>
      <c r="G21" s="19" t="str">
        <f>'KOMP-14'!G24</f>
        <v>NIP 196307191989031007</v>
      </c>
      <c r="H21" s="19"/>
      <c r="I21" s="19"/>
      <c r="J21" s="19"/>
    </row>
  </sheetData>
  <sheetProtection password="CEC8" sheet="1" objects="1" scenarios="1"/>
  <mergeCells count="26">
    <mergeCell ref="A1:J1"/>
    <mergeCell ref="H2:J2"/>
    <mergeCell ref="B4:G4"/>
    <mergeCell ref="B5:G5"/>
    <mergeCell ref="B6:G6"/>
    <mergeCell ref="A7:G7"/>
    <mergeCell ref="H7:J7"/>
    <mergeCell ref="A8:G8"/>
    <mergeCell ref="H8:J8"/>
    <mergeCell ref="A9:G9"/>
    <mergeCell ref="H9:J9"/>
    <mergeCell ref="A10:G10"/>
    <mergeCell ref="A11:G11"/>
    <mergeCell ref="G13:I13"/>
    <mergeCell ref="A15:B15"/>
    <mergeCell ref="C15:F15"/>
    <mergeCell ref="G15:J15"/>
    <mergeCell ref="A20:B20"/>
    <mergeCell ref="C20:F20"/>
    <mergeCell ref="G20:J20"/>
    <mergeCell ref="A21:B21"/>
    <mergeCell ref="C21:F21"/>
    <mergeCell ref="G21:J21"/>
    <mergeCell ref="A2:A3"/>
    <mergeCell ref="B2:G3"/>
    <mergeCell ref="H10:J11"/>
  </mergeCells>
  <pageMargins left="1.04" right="0.39" top="0.748031496062992" bottom="1.24" header="0.31496062992126" footer="0.88"/>
  <pageSetup paperSize="9" orientation="portrait"/>
  <headerFooter>
    <oddFooter>&amp;RCreated by © prie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M21"/>
  <sheetViews>
    <sheetView showGridLines="0" view="pageBreakPreview" zoomScale="115" zoomScaleNormal="100" workbookViewId="0">
      <selection activeCell="A1" sqref="A1:J1"/>
    </sheetView>
  </sheetViews>
  <sheetFormatPr defaultColWidth="9.14166666666667" defaultRowHeight="14.25"/>
  <cols>
    <col min="1" max="1" width="4" style="1" customWidth="1"/>
    <col min="2" max="2" width="25" style="1" customWidth="1"/>
    <col min="3" max="7" width="7.28333333333333" style="1" customWidth="1"/>
    <col min="8" max="10" width="6.70833333333333" style="1" customWidth="1"/>
    <col min="11" max="11" width="5.14166666666667" style="1" hidden="1" customWidth="1"/>
    <col min="12" max="12" width="5.56666666666667" style="1" hidden="1" customWidth="1"/>
    <col min="13" max="13" width="0.141666666666667" style="1" customWidth="1"/>
    <col min="14" max="16384" width="9.14166666666667" style="1"/>
  </cols>
  <sheetData>
    <row r="1" ht="31.5" customHeight="1" spans="1:10">
      <c r="A1" s="37" t="s">
        <v>199</v>
      </c>
      <c r="B1" s="37"/>
      <c r="C1" s="37"/>
      <c r="D1" s="37"/>
      <c r="E1" s="37"/>
      <c r="F1" s="37"/>
      <c r="G1" s="37"/>
      <c r="H1" s="37"/>
      <c r="I1" s="37"/>
      <c r="J1" s="37"/>
    </row>
    <row r="2" spans="1:10">
      <c r="A2" s="38" t="s">
        <v>92</v>
      </c>
      <c r="B2" s="4" t="s">
        <v>176</v>
      </c>
      <c r="C2" s="5"/>
      <c r="D2" s="5"/>
      <c r="E2" s="5"/>
      <c r="F2" s="5"/>
      <c r="G2" s="3"/>
      <c r="H2" s="21" t="s">
        <v>177</v>
      </c>
      <c r="I2" s="21"/>
      <c r="J2" s="21"/>
    </row>
    <row r="3" spans="1:10">
      <c r="A3" s="39"/>
      <c r="B3" s="7"/>
      <c r="C3" s="8"/>
      <c r="D3" s="8"/>
      <c r="E3" s="8"/>
      <c r="F3" s="8"/>
      <c r="G3" s="6"/>
      <c r="H3" s="22">
        <v>0</v>
      </c>
      <c r="I3" s="22">
        <v>1</v>
      </c>
      <c r="J3" s="22">
        <v>2</v>
      </c>
    </row>
    <row r="4" ht="60" customHeight="1" spans="1:10">
      <c r="A4" s="268" t="s">
        <v>95</v>
      </c>
      <c r="B4" s="10" t="s">
        <v>200</v>
      </c>
      <c r="C4" s="11"/>
      <c r="D4" s="11"/>
      <c r="E4" s="11"/>
      <c r="F4" s="11"/>
      <c r="G4" s="23"/>
      <c r="H4" s="24"/>
      <c r="I4" s="24"/>
      <c r="J4" s="24" t="s">
        <v>179</v>
      </c>
    </row>
    <row r="5" ht="46.5" customHeight="1" spans="1:10">
      <c r="A5" s="268" t="s">
        <v>98</v>
      </c>
      <c r="B5" s="10" t="s">
        <v>201</v>
      </c>
      <c r="C5" s="11"/>
      <c r="D5" s="11"/>
      <c r="E5" s="11"/>
      <c r="F5" s="11"/>
      <c r="G5" s="23"/>
      <c r="H5" s="24"/>
      <c r="I5" s="24"/>
      <c r="J5" s="24" t="s">
        <v>179</v>
      </c>
    </row>
    <row r="6" ht="45" customHeight="1" spans="1:10">
      <c r="A6" s="268" t="s">
        <v>101</v>
      </c>
      <c r="B6" s="10" t="s">
        <v>202</v>
      </c>
      <c r="C6" s="11"/>
      <c r="D6" s="11"/>
      <c r="E6" s="11"/>
      <c r="F6" s="11"/>
      <c r="G6" s="23"/>
      <c r="H6" s="24"/>
      <c r="I6" s="24" t="s">
        <v>179</v>
      </c>
      <c r="J6" s="24"/>
    </row>
    <row r="7" ht="15" customHeight="1" spans="1:13">
      <c r="A7" s="12" t="s">
        <v>203</v>
      </c>
      <c r="B7" s="13"/>
      <c r="C7" s="13"/>
      <c r="D7" s="13"/>
      <c r="E7" s="13"/>
      <c r="F7" s="13"/>
      <c r="G7" s="25"/>
      <c r="H7" s="26">
        <f>SUM(K7:M7)</f>
        <v>5</v>
      </c>
      <c r="I7" s="32"/>
      <c r="J7" s="33"/>
      <c r="K7" s="1">
        <f>COUNTIF(H4:H6,"v")</f>
        <v>0</v>
      </c>
      <c r="L7" s="1">
        <f>COUNTIF(I4:I6,"v")</f>
        <v>1</v>
      </c>
      <c r="M7" s="1">
        <f>COUNTIF(J4:J6,"v")*2</f>
        <v>4</v>
      </c>
    </row>
    <row r="8" ht="18" customHeight="1" spans="1:10">
      <c r="A8" s="12" t="s">
        <v>204</v>
      </c>
      <c r="B8" s="13"/>
      <c r="C8" s="13"/>
      <c r="D8" s="13"/>
      <c r="E8" s="13"/>
      <c r="F8" s="13"/>
      <c r="G8" s="25"/>
      <c r="H8" s="26">
        <v>6</v>
      </c>
      <c r="I8" s="32"/>
      <c r="J8" s="33"/>
    </row>
    <row r="9" spans="1:10">
      <c r="A9" s="12" t="s">
        <v>196</v>
      </c>
      <c r="B9" s="13"/>
      <c r="C9" s="13"/>
      <c r="D9" s="13"/>
      <c r="E9" s="13"/>
      <c r="F9" s="13"/>
      <c r="G9" s="25"/>
      <c r="H9" s="27">
        <f>H7/H8</f>
        <v>0.833333333333333</v>
      </c>
      <c r="I9" s="34"/>
      <c r="J9" s="35"/>
    </row>
    <row r="10" spans="1:10">
      <c r="A10" s="14" t="s">
        <v>205</v>
      </c>
      <c r="B10" s="15"/>
      <c r="C10" s="15"/>
      <c r="D10" s="15"/>
      <c r="E10" s="15"/>
      <c r="F10" s="15"/>
      <c r="G10" s="28"/>
      <c r="H10" s="4">
        <f>IF(H9&lt;=0.25,1,IF(H9&lt;=0.5,2,IF(H9&lt;=0.75,3,4)))</f>
        <v>4</v>
      </c>
      <c r="I10" s="5"/>
      <c r="J10" s="3"/>
    </row>
    <row r="11" ht="29.25" customHeight="1" spans="1:10">
      <c r="A11" s="269" t="s">
        <v>198</v>
      </c>
      <c r="B11" s="17"/>
      <c r="C11" s="17"/>
      <c r="D11" s="17"/>
      <c r="E11" s="17"/>
      <c r="F11" s="17"/>
      <c r="G11" s="29"/>
      <c r="H11" s="7"/>
      <c r="I11" s="8"/>
      <c r="J11" s="6"/>
    </row>
    <row r="12" spans="1:1">
      <c r="A12" s="18"/>
    </row>
    <row r="13" spans="6:9">
      <c r="F13" s="41" t="str">
        <f>'KOMP-14'!F16</f>
        <v>Jakarta,</v>
      </c>
      <c r="G13" s="31" t="str">
        <f>'KOMP-13'!G13:I13</f>
        <v>20 September 2019</v>
      </c>
      <c r="H13" s="31"/>
      <c r="I13" s="31"/>
    </row>
    <row r="15" spans="1:10">
      <c r="A15" s="19" t="s">
        <v>139</v>
      </c>
      <c r="B15" s="19"/>
      <c r="C15" s="19" t="s">
        <v>140</v>
      </c>
      <c r="D15" s="19"/>
      <c r="E15" s="19"/>
      <c r="F15" s="19"/>
      <c r="G15" s="19" t="s">
        <v>141</v>
      </c>
      <c r="H15" s="19"/>
      <c r="I15" s="19"/>
      <c r="J15" s="19"/>
    </row>
    <row r="20" spans="1:10">
      <c r="A20" s="20" t="str">
        <f>'KOMP-14'!A23</f>
        <v>KHARISMA MEI RESIWATI, S.Pd.</v>
      </c>
      <c r="B20" s="20"/>
      <c r="C20" s="20" t="str">
        <f>'KOMP-14'!C23</f>
        <v>BAHRUDIN,S.Pd,M.M</v>
      </c>
      <c r="D20" s="20"/>
      <c r="E20" s="20"/>
      <c r="F20" s="20"/>
      <c r="G20" s="20" t="str">
        <f>'KOMP-14'!G23</f>
        <v>BAHRUDIN,S.Pd, M.M</v>
      </c>
      <c r="H20" s="20"/>
      <c r="I20" s="20"/>
      <c r="J20" s="20"/>
    </row>
    <row r="21" spans="1:10">
      <c r="A21" s="19" t="str">
        <f>'KOMP-14'!A24</f>
        <v>NIP </v>
      </c>
      <c r="B21" s="19"/>
      <c r="C21" s="19" t="str">
        <f>'KOMP-14'!C24</f>
        <v>NIP 196307191989031007</v>
      </c>
      <c r="D21" s="19"/>
      <c r="E21" s="19"/>
      <c r="F21" s="19"/>
      <c r="G21" s="19" t="str">
        <f>'KOMP-14'!G24</f>
        <v>NIP 196307191989031007</v>
      </c>
      <c r="H21" s="19"/>
      <c r="I21" s="19"/>
      <c r="J21" s="19"/>
    </row>
  </sheetData>
  <sheetProtection password="CEC8" sheet="1" objects="1" scenarios="1"/>
  <mergeCells count="26">
    <mergeCell ref="A1:J1"/>
    <mergeCell ref="H2:J2"/>
    <mergeCell ref="B4:G4"/>
    <mergeCell ref="B5:G5"/>
    <mergeCell ref="B6:G6"/>
    <mergeCell ref="A7:G7"/>
    <mergeCell ref="H7:J7"/>
    <mergeCell ref="A8:G8"/>
    <mergeCell ref="H8:J8"/>
    <mergeCell ref="A9:G9"/>
    <mergeCell ref="H9:J9"/>
    <mergeCell ref="A10:G10"/>
    <mergeCell ref="A11:G11"/>
    <mergeCell ref="G13:I13"/>
    <mergeCell ref="A15:B15"/>
    <mergeCell ref="C15:F15"/>
    <mergeCell ref="G15:J15"/>
    <mergeCell ref="A20:B20"/>
    <mergeCell ref="C20:F20"/>
    <mergeCell ref="G20:J20"/>
    <mergeCell ref="A21:B21"/>
    <mergeCell ref="C21:F21"/>
    <mergeCell ref="G21:J21"/>
    <mergeCell ref="A2:A3"/>
    <mergeCell ref="H10:J11"/>
    <mergeCell ref="B2:G3"/>
  </mergeCells>
  <pageMargins left="1.04" right="0.39" top="0.748031496062992" bottom="0.86" header="0.31496062992126" footer="0.59"/>
  <pageSetup paperSize="9" orientation="portrait"/>
  <headerFooter>
    <oddFooter>&amp;RCreated by © prie</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M21"/>
  <sheetViews>
    <sheetView showGridLines="0" view="pageBreakPreview" zoomScale="115" zoomScaleNormal="100" workbookViewId="0">
      <selection activeCell="J5" sqref="J5"/>
    </sheetView>
  </sheetViews>
  <sheetFormatPr defaultColWidth="9.14166666666667" defaultRowHeight="14.25"/>
  <cols>
    <col min="1" max="1" width="4" style="1" customWidth="1"/>
    <col min="2" max="2" width="25" style="1" customWidth="1"/>
    <col min="3" max="7" width="7.28333333333333" style="1" customWidth="1"/>
    <col min="8" max="10" width="6.70833333333333" style="1" customWidth="1"/>
    <col min="11" max="11" width="0.141666666666667" style="1" customWidth="1"/>
    <col min="12" max="12" width="5.28333333333333" style="1" hidden="1" customWidth="1"/>
    <col min="13" max="13" width="0.283333333333333" style="1" customWidth="1"/>
    <col min="14" max="16384" width="9.14166666666667" style="1"/>
  </cols>
  <sheetData>
    <row r="1" ht="33" customHeight="1" spans="1:10">
      <c r="A1" s="37" t="s">
        <v>206</v>
      </c>
      <c r="B1" s="37"/>
      <c r="C1" s="37"/>
      <c r="D1" s="37"/>
      <c r="E1" s="37"/>
      <c r="F1" s="37"/>
      <c r="G1" s="37"/>
      <c r="H1" s="37"/>
      <c r="I1" s="37"/>
      <c r="J1" s="37"/>
    </row>
    <row r="2" spans="1:10">
      <c r="A2" s="38" t="s">
        <v>92</v>
      </c>
      <c r="B2" s="4" t="s">
        <v>176</v>
      </c>
      <c r="C2" s="5"/>
      <c r="D2" s="5"/>
      <c r="E2" s="5"/>
      <c r="F2" s="5"/>
      <c r="G2" s="3"/>
      <c r="H2" s="21" t="s">
        <v>177</v>
      </c>
      <c r="I2" s="21"/>
      <c r="J2" s="21"/>
    </row>
    <row r="3" spans="1:10">
      <c r="A3" s="39"/>
      <c r="B3" s="7"/>
      <c r="C3" s="8"/>
      <c r="D3" s="8"/>
      <c r="E3" s="8"/>
      <c r="F3" s="8"/>
      <c r="G3" s="6"/>
      <c r="H3" s="22">
        <v>0</v>
      </c>
      <c r="I3" s="22">
        <v>1</v>
      </c>
      <c r="J3" s="22">
        <v>2</v>
      </c>
    </row>
    <row r="4" ht="44.25" customHeight="1" spans="1:10">
      <c r="A4" s="268" t="s">
        <v>95</v>
      </c>
      <c r="B4" s="10" t="s">
        <v>207</v>
      </c>
      <c r="C4" s="11"/>
      <c r="D4" s="11"/>
      <c r="E4" s="11"/>
      <c r="F4" s="11"/>
      <c r="G4" s="23"/>
      <c r="H4" s="24"/>
      <c r="I4" s="24" t="s">
        <v>179</v>
      </c>
      <c r="J4" s="24"/>
    </row>
    <row r="5" ht="45" customHeight="1" spans="1:10">
      <c r="A5" s="268" t="s">
        <v>98</v>
      </c>
      <c r="B5" s="10" t="s">
        <v>208</v>
      </c>
      <c r="C5" s="11"/>
      <c r="D5" s="11"/>
      <c r="E5" s="11"/>
      <c r="F5" s="11"/>
      <c r="G5" s="23"/>
      <c r="H5" s="24"/>
      <c r="I5" s="24"/>
      <c r="J5" s="24" t="s">
        <v>179</v>
      </c>
    </row>
    <row r="6" ht="61.5" customHeight="1" spans="1:10">
      <c r="A6" s="268" t="s">
        <v>101</v>
      </c>
      <c r="B6" s="10" t="s">
        <v>209</v>
      </c>
      <c r="C6" s="11"/>
      <c r="D6" s="11"/>
      <c r="E6" s="11"/>
      <c r="F6" s="11"/>
      <c r="G6" s="23"/>
      <c r="H6" s="24"/>
      <c r="I6" s="24"/>
      <c r="J6" s="24" t="s">
        <v>179</v>
      </c>
    </row>
    <row r="7" ht="15" customHeight="1" spans="1:13">
      <c r="A7" s="12" t="s">
        <v>210</v>
      </c>
      <c r="B7" s="13"/>
      <c r="C7" s="13"/>
      <c r="D7" s="13"/>
      <c r="E7" s="13"/>
      <c r="F7" s="13"/>
      <c r="G7" s="25"/>
      <c r="H7" s="26">
        <f>SUM(K7:M7)</f>
        <v>5</v>
      </c>
      <c r="I7" s="32"/>
      <c r="J7" s="33"/>
      <c r="K7" s="1">
        <f>COUNTIF(H4:H6,"v")</f>
        <v>0</v>
      </c>
      <c r="L7" s="1">
        <f>COUNTIF(I4:I6,"v")</f>
        <v>1</v>
      </c>
      <c r="M7" s="1">
        <f>COUNTIF(J4:J6,"v")*2</f>
        <v>4</v>
      </c>
    </row>
    <row r="8" ht="18" customHeight="1" spans="1:10">
      <c r="A8" s="12" t="s">
        <v>211</v>
      </c>
      <c r="B8" s="13"/>
      <c r="C8" s="13"/>
      <c r="D8" s="13"/>
      <c r="E8" s="13"/>
      <c r="F8" s="13"/>
      <c r="G8" s="25"/>
      <c r="H8" s="26">
        <v>6</v>
      </c>
      <c r="I8" s="32"/>
      <c r="J8" s="33"/>
    </row>
    <row r="9" spans="1:10">
      <c r="A9" s="12" t="s">
        <v>196</v>
      </c>
      <c r="B9" s="13"/>
      <c r="C9" s="13"/>
      <c r="D9" s="13"/>
      <c r="E9" s="13"/>
      <c r="F9" s="13"/>
      <c r="G9" s="25"/>
      <c r="H9" s="27">
        <f>H7/H8</f>
        <v>0.833333333333333</v>
      </c>
      <c r="I9" s="34"/>
      <c r="J9" s="35"/>
    </row>
    <row r="10" spans="1:10">
      <c r="A10" s="14" t="s">
        <v>212</v>
      </c>
      <c r="B10" s="15"/>
      <c r="C10" s="15"/>
      <c r="D10" s="15"/>
      <c r="E10" s="15"/>
      <c r="F10" s="15"/>
      <c r="G10" s="28"/>
      <c r="H10" s="4">
        <f>IF(H9&lt;=0.25,1,IF(H9&lt;=0.5,2,IF(H9&lt;=0.75,3,4)))</f>
        <v>4</v>
      </c>
      <c r="I10" s="5"/>
      <c r="J10" s="3"/>
    </row>
    <row r="11" ht="29.25" customHeight="1" spans="1:10">
      <c r="A11" s="269" t="s">
        <v>198</v>
      </c>
      <c r="B11" s="17"/>
      <c r="C11" s="17"/>
      <c r="D11" s="17"/>
      <c r="E11" s="17"/>
      <c r="F11" s="17"/>
      <c r="G11" s="29"/>
      <c r="H11" s="7"/>
      <c r="I11" s="8"/>
      <c r="J11" s="6"/>
    </row>
    <row r="12" spans="1:1">
      <c r="A12" s="18"/>
    </row>
    <row r="13" spans="6:9">
      <c r="F13" s="41" t="str">
        <f>'KOMP-14'!F16</f>
        <v>Jakarta,</v>
      </c>
      <c r="G13" s="31" t="str">
        <f>'KOMP-12'!G13:I13</f>
        <v>20 September 2019</v>
      </c>
      <c r="H13" s="31"/>
      <c r="I13" s="31"/>
    </row>
    <row r="15" spans="1:10">
      <c r="A15" s="19" t="s">
        <v>139</v>
      </c>
      <c r="B15" s="19"/>
      <c r="C15" s="19" t="s">
        <v>140</v>
      </c>
      <c r="D15" s="19"/>
      <c r="E15" s="19"/>
      <c r="F15" s="19"/>
      <c r="G15" s="19" t="s">
        <v>141</v>
      </c>
      <c r="H15" s="19"/>
      <c r="I15" s="19"/>
      <c r="J15" s="19"/>
    </row>
    <row r="20" spans="1:10">
      <c r="A20" s="20" t="str">
        <f>'KOMP-14'!A23</f>
        <v>KHARISMA MEI RESIWATI, S.Pd.</v>
      </c>
      <c r="B20" s="20"/>
      <c r="C20" s="20" t="str">
        <f>'KOMP-14'!C23</f>
        <v>BAHRUDIN,S.Pd,M.M</v>
      </c>
      <c r="D20" s="20"/>
      <c r="E20" s="20"/>
      <c r="F20" s="20"/>
      <c r="G20" s="20" t="str">
        <f>'KOMP-14'!G23</f>
        <v>BAHRUDIN,S.Pd, M.M</v>
      </c>
      <c r="H20" s="20"/>
      <c r="I20" s="20"/>
      <c r="J20" s="20"/>
    </row>
    <row r="21" spans="1:10">
      <c r="A21" s="19" t="str">
        <f>'KOMP-14'!A24</f>
        <v>NIP </v>
      </c>
      <c r="B21" s="19"/>
      <c r="C21" s="19" t="str">
        <f>'KOMP-14'!C24</f>
        <v>NIP 196307191989031007</v>
      </c>
      <c r="D21" s="19"/>
      <c r="E21" s="19"/>
      <c r="F21" s="19"/>
      <c r="G21" s="19" t="str">
        <f>'KOMP-14'!G24</f>
        <v>NIP 196307191989031007</v>
      </c>
      <c r="H21" s="19"/>
      <c r="I21" s="19"/>
      <c r="J21" s="19"/>
    </row>
  </sheetData>
  <sheetProtection password="CEC8" sheet="1" objects="1" scenarios="1"/>
  <mergeCells count="26">
    <mergeCell ref="A1:J1"/>
    <mergeCell ref="H2:J2"/>
    <mergeCell ref="B4:G4"/>
    <mergeCell ref="B5:G5"/>
    <mergeCell ref="B6:G6"/>
    <mergeCell ref="A7:G7"/>
    <mergeCell ref="H7:J7"/>
    <mergeCell ref="A8:G8"/>
    <mergeCell ref="H8:J8"/>
    <mergeCell ref="A9:G9"/>
    <mergeCell ref="H9:J9"/>
    <mergeCell ref="A10:G10"/>
    <mergeCell ref="A11:G11"/>
    <mergeCell ref="G13:I13"/>
    <mergeCell ref="A15:B15"/>
    <mergeCell ref="C15:F15"/>
    <mergeCell ref="G15:J15"/>
    <mergeCell ref="A20:B20"/>
    <mergeCell ref="C20:F20"/>
    <mergeCell ref="G20:J20"/>
    <mergeCell ref="A21:B21"/>
    <mergeCell ref="C21:F21"/>
    <mergeCell ref="G21:J21"/>
    <mergeCell ref="A2:A3"/>
    <mergeCell ref="H10:J11"/>
    <mergeCell ref="B2:G3"/>
  </mergeCells>
  <pageMargins left="1.08" right="0.37" top="0.748031496062992" bottom="0.9" header="0.31496062992126" footer="0.61"/>
  <pageSetup paperSize="9" orientation="portrait"/>
  <headerFooter>
    <oddFooter>&amp;RCreated by © prie</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M26"/>
  <sheetViews>
    <sheetView showGridLines="0" view="pageBreakPreview" zoomScale="115" zoomScaleNormal="100" workbookViewId="0">
      <selection activeCell="I4" sqref="I4"/>
    </sheetView>
  </sheetViews>
  <sheetFormatPr defaultColWidth="9.14166666666667" defaultRowHeight="14.25"/>
  <cols>
    <col min="1" max="1" width="4" style="1" customWidth="1"/>
    <col min="2" max="2" width="25" style="1" customWidth="1"/>
    <col min="3" max="7" width="7.28333333333333" style="1" customWidth="1"/>
    <col min="8" max="9" width="6.70833333333333" style="1" customWidth="1"/>
    <col min="10" max="10" width="6.56666666666667" style="1" customWidth="1"/>
    <col min="11" max="11" width="4.28333333333333" style="1" hidden="1" customWidth="1"/>
    <col min="12" max="12" width="5.14166666666667" style="1" hidden="1" customWidth="1"/>
    <col min="13" max="13" width="0.141666666666667" style="1" customWidth="1"/>
    <col min="14" max="16384" width="9.14166666666667" style="1"/>
  </cols>
  <sheetData>
    <row r="1" ht="33" customHeight="1" spans="1:10">
      <c r="A1" s="37" t="s">
        <v>213</v>
      </c>
      <c r="B1" s="37"/>
      <c r="C1" s="37"/>
      <c r="D1" s="37"/>
      <c r="E1" s="37"/>
      <c r="F1" s="37"/>
      <c r="G1" s="37"/>
      <c r="H1" s="37"/>
      <c r="I1" s="37"/>
      <c r="J1" s="37"/>
    </row>
    <row r="2" spans="1:10">
      <c r="A2" s="42" t="s">
        <v>92</v>
      </c>
      <c r="B2" s="4" t="s">
        <v>176</v>
      </c>
      <c r="C2" s="5"/>
      <c r="D2" s="5"/>
      <c r="E2" s="5"/>
      <c r="F2" s="5"/>
      <c r="G2" s="3"/>
      <c r="H2" s="21" t="s">
        <v>177</v>
      </c>
      <c r="I2" s="21"/>
      <c r="J2" s="21"/>
    </row>
    <row r="3" spans="1:10">
      <c r="A3" s="43"/>
      <c r="B3" s="7"/>
      <c r="C3" s="8"/>
      <c r="D3" s="8"/>
      <c r="E3" s="8"/>
      <c r="F3" s="8"/>
      <c r="G3" s="6"/>
      <c r="H3" s="22">
        <v>0</v>
      </c>
      <c r="I3" s="22">
        <v>1</v>
      </c>
      <c r="J3" s="22">
        <v>2</v>
      </c>
    </row>
    <row r="4" ht="18" customHeight="1" spans="1:10">
      <c r="A4" s="268" t="s">
        <v>95</v>
      </c>
      <c r="B4" s="10" t="s">
        <v>214</v>
      </c>
      <c r="C4" s="11"/>
      <c r="D4" s="11"/>
      <c r="E4" s="11"/>
      <c r="F4" s="11"/>
      <c r="G4" s="23"/>
      <c r="H4" s="24"/>
      <c r="I4" s="24" t="s">
        <v>179</v>
      </c>
      <c r="J4" s="24"/>
    </row>
    <row r="5" ht="43.5" customHeight="1" spans="1:10">
      <c r="A5" s="268" t="s">
        <v>98</v>
      </c>
      <c r="B5" s="10" t="s">
        <v>215</v>
      </c>
      <c r="C5" s="11"/>
      <c r="D5" s="11"/>
      <c r="E5" s="11"/>
      <c r="F5" s="11"/>
      <c r="G5" s="23"/>
      <c r="H5" s="24"/>
      <c r="I5" s="24"/>
      <c r="J5" s="24" t="s">
        <v>179</v>
      </c>
    </row>
    <row r="6" ht="43.5" customHeight="1" spans="1:10">
      <c r="A6" s="268" t="s">
        <v>101</v>
      </c>
      <c r="B6" s="10" t="s">
        <v>216</v>
      </c>
      <c r="C6" s="11"/>
      <c r="D6" s="11"/>
      <c r="E6" s="11"/>
      <c r="F6" s="11"/>
      <c r="G6" s="23"/>
      <c r="H6" s="24"/>
      <c r="I6" s="24"/>
      <c r="J6" s="24" t="s">
        <v>179</v>
      </c>
    </row>
    <row r="7" ht="58.5" customHeight="1" spans="1:10">
      <c r="A7" s="268" t="s">
        <v>104</v>
      </c>
      <c r="B7" s="10" t="s">
        <v>217</v>
      </c>
      <c r="C7" s="11"/>
      <c r="D7" s="11"/>
      <c r="E7" s="11"/>
      <c r="F7" s="11"/>
      <c r="G7" s="23"/>
      <c r="H7" s="24"/>
      <c r="I7" s="24" t="s">
        <v>179</v>
      </c>
      <c r="J7" s="24"/>
    </row>
    <row r="8" ht="45.75" customHeight="1" spans="1:10">
      <c r="A8" s="268" t="s">
        <v>107</v>
      </c>
      <c r="B8" s="10" t="s">
        <v>218</v>
      </c>
      <c r="C8" s="11"/>
      <c r="D8" s="11"/>
      <c r="E8" s="11"/>
      <c r="F8" s="11"/>
      <c r="G8" s="23"/>
      <c r="H8" s="24"/>
      <c r="I8" s="24"/>
      <c r="J8" s="24" t="s">
        <v>179</v>
      </c>
    </row>
    <row r="9" ht="32.25" customHeight="1" spans="1:10">
      <c r="A9" s="268" t="s">
        <v>110</v>
      </c>
      <c r="B9" s="10" t="s">
        <v>219</v>
      </c>
      <c r="C9" s="11"/>
      <c r="D9" s="11"/>
      <c r="E9" s="11"/>
      <c r="F9" s="11"/>
      <c r="G9" s="23"/>
      <c r="H9" s="24"/>
      <c r="I9" s="24" t="s">
        <v>179</v>
      </c>
      <c r="J9" s="24"/>
    </row>
    <row r="10" ht="42.75" customHeight="1" spans="1:10">
      <c r="A10" s="268" t="s">
        <v>113</v>
      </c>
      <c r="B10" s="10" t="s">
        <v>220</v>
      </c>
      <c r="C10" s="11"/>
      <c r="D10" s="11"/>
      <c r="E10" s="11"/>
      <c r="F10" s="11"/>
      <c r="G10" s="23"/>
      <c r="H10" s="24"/>
      <c r="I10" s="24"/>
      <c r="J10" s="24" t="s">
        <v>179</v>
      </c>
    </row>
    <row r="11" ht="18.75" customHeight="1" spans="1:13">
      <c r="A11" s="268" t="s">
        <v>116</v>
      </c>
      <c r="B11" s="12" t="s">
        <v>221</v>
      </c>
      <c r="C11" s="13"/>
      <c r="D11" s="13"/>
      <c r="E11" s="13"/>
      <c r="F11" s="13"/>
      <c r="G11" s="25"/>
      <c r="H11" s="24"/>
      <c r="I11" s="24"/>
      <c r="J11" s="24" t="s">
        <v>179</v>
      </c>
      <c r="K11" s="1">
        <f>COUNTIF(H4:H11,"v")</f>
        <v>0</v>
      </c>
      <c r="L11" s="1">
        <f>COUNTIF(I4:I11,"v")</f>
        <v>3</v>
      </c>
      <c r="M11" s="1">
        <f>COUNTIF(J4:J11,"v")*2</f>
        <v>10</v>
      </c>
    </row>
    <row r="12" ht="15" customHeight="1" spans="1:10">
      <c r="A12" s="12" t="s">
        <v>222</v>
      </c>
      <c r="B12" s="13"/>
      <c r="C12" s="13"/>
      <c r="D12" s="13"/>
      <c r="E12" s="13"/>
      <c r="F12" s="13"/>
      <c r="G12" s="25"/>
      <c r="H12" s="26">
        <f>SUM(K11:M11)</f>
        <v>13</v>
      </c>
      <c r="I12" s="32"/>
      <c r="J12" s="33"/>
    </row>
    <row r="13" ht="18" customHeight="1" spans="1:10">
      <c r="A13" s="12" t="s">
        <v>223</v>
      </c>
      <c r="B13" s="13"/>
      <c r="C13" s="13"/>
      <c r="D13" s="13"/>
      <c r="E13" s="13"/>
      <c r="F13" s="13"/>
      <c r="G13" s="25"/>
      <c r="H13" s="26">
        <v>16</v>
      </c>
      <c r="I13" s="32"/>
      <c r="J13" s="33"/>
    </row>
    <row r="14" spans="1:10">
      <c r="A14" s="12" t="s">
        <v>224</v>
      </c>
      <c r="B14" s="13"/>
      <c r="C14" s="13"/>
      <c r="D14" s="13"/>
      <c r="E14" s="13"/>
      <c r="F14" s="13"/>
      <c r="G14" s="25"/>
      <c r="H14" s="27">
        <f>H12/H13</f>
        <v>0.8125</v>
      </c>
      <c r="I14" s="34"/>
      <c r="J14" s="35"/>
    </row>
    <row r="15" spans="1:10">
      <c r="A15" s="14" t="s">
        <v>225</v>
      </c>
      <c r="B15" s="15"/>
      <c r="C15" s="15"/>
      <c r="D15" s="15"/>
      <c r="E15" s="15"/>
      <c r="F15" s="15"/>
      <c r="G15" s="28"/>
      <c r="H15" s="4">
        <f>IF(H14&lt;=0.25,1,IF(H14&lt;=0.5,2,IF(H14&lt;=0.75,3,4)))</f>
        <v>4</v>
      </c>
      <c r="I15" s="5"/>
      <c r="J15" s="3"/>
    </row>
    <row r="16" ht="29.25" customHeight="1" spans="1:10">
      <c r="A16" s="269" t="s">
        <v>198</v>
      </c>
      <c r="B16" s="17"/>
      <c r="C16" s="17"/>
      <c r="D16" s="17"/>
      <c r="E16" s="17"/>
      <c r="F16" s="17"/>
      <c r="G16" s="29"/>
      <c r="H16" s="7"/>
      <c r="I16" s="8"/>
      <c r="J16" s="6"/>
    </row>
    <row r="17" spans="1:1">
      <c r="A17" s="18"/>
    </row>
    <row r="18" spans="6:10">
      <c r="F18" s="41" t="str">
        <f>'KOMP-11'!F13</f>
        <v>Jakarta,</v>
      </c>
      <c r="G18" s="31" t="str">
        <f>'KOMP-11'!G13</f>
        <v>20 September 2019</v>
      </c>
      <c r="H18" s="31"/>
      <c r="I18" s="31"/>
      <c r="J18" s="31"/>
    </row>
    <row r="20" spans="1:10">
      <c r="A20" s="19" t="s">
        <v>139</v>
      </c>
      <c r="B20" s="19"/>
      <c r="C20" s="19" t="s">
        <v>140</v>
      </c>
      <c r="D20" s="19"/>
      <c r="E20" s="19"/>
      <c r="F20" s="19"/>
      <c r="G20" s="19" t="s">
        <v>141</v>
      </c>
      <c r="H20" s="19"/>
      <c r="I20" s="19"/>
      <c r="J20" s="19"/>
    </row>
    <row r="25" spans="1:10">
      <c r="A25" s="20" t="str">
        <f>'KOMP-11'!A20</f>
        <v>KHARISMA MEI RESIWATI, S.Pd.</v>
      </c>
      <c r="B25" s="20"/>
      <c r="C25" s="20" t="str">
        <f>'KOMP-11'!C20</f>
        <v>BAHRUDIN,S.Pd,M.M</v>
      </c>
      <c r="D25" s="20"/>
      <c r="E25" s="20"/>
      <c r="F25" s="20"/>
      <c r="G25" s="20" t="str">
        <f>'KOMP-11'!G20</f>
        <v>BAHRUDIN,S.Pd, M.M</v>
      </c>
      <c r="H25" s="20"/>
      <c r="I25" s="20"/>
      <c r="J25" s="20"/>
    </row>
    <row r="26" spans="1:10">
      <c r="A26" s="19" t="str">
        <f>'KOMP-11'!A21</f>
        <v>NIP </v>
      </c>
      <c r="B26" s="19"/>
      <c r="C26" s="19" t="str">
        <f>'KOMP-11'!C21</f>
        <v>NIP 196307191989031007</v>
      </c>
      <c r="D26" s="19"/>
      <c r="E26" s="19"/>
      <c r="F26" s="19"/>
      <c r="G26" s="19" t="str">
        <f>'KOMP-11'!G21</f>
        <v>NIP 196307191989031007</v>
      </c>
      <c r="H26" s="19"/>
      <c r="I26" s="19"/>
      <c r="J26" s="19"/>
    </row>
  </sheetData>
  <sheetProtection password="CEC8" sheet="1" objects="1" scenarios="1"/>
  <mergeCells count="31">
    <mergeCell ref="A1:J1"/>
    <mergeCell ref="H2:J2"/>
    <mergeCell ref="B4:G4"/>
    <mergeCell ref="B5:G5"/>
    <mergeCell ref="B6:G6"/>
    <mergeCell ref="B7:G7"/>
    <mergeCell ref="B8:G8"/>
    <mergeCell ref="B9:G9"/>
    <mergeCell ref="B10:G10"/>
    <mergeCell ref="B11:G11"/>
    <mergeCell ref="A12:G12"/>
    <mergeCell ref="H12:J12"/>
    <mergeCell ref="A13:G13"/>
    <mergeCell ref="H13:J13"/>
    <mergeCell ref="A14:G14"/>
    <mergeCell ref="H14:J14"/>
    <mergeCell ref="A15:G15"/>
    <mergeCell ref="A16:G16"/>
    <mergeCell ref="G18:J18"/>
    <mergeCell ref="A20:B20"/>
    <mergeCell ref="C20:F20"/>
    <mergeCell ref="G20:J20"/>
    <mergeCell ref="A25:B25"/>
    <mergeCell ref="C25:F25"/>
    <mergeCell ref="G25:J25"/>
    <mergeCell ref="A26:B26"/>
    <mergeCell ref="C26:F26"/>
    <mergeCell ref="G26:J26"/>
    <mergeCell ref="A2:A3"/>
    <mergeCell ref="B2:G3"/>
    <mergeCell ref="H15:J16"/>
  </mergeCells>
  <pageMargins left="1.02" right="0.43" top="0.748031496062992" bottom="0.77" header="0.31496062992126" footer="0.51"/>
  <pageSetup paperSize="9" orientation="portrait"/>
  <headerFooter>
    <oddFooter>&amp;RCreated by © prie</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M23"/>
  <sheetViews>
    <sheetView showGridLines="0" view="pageBreakPreview" zoomScale="115" zoomScaleNormal="100" workbookViewId="0">
      <selection activeCell="I5" sqref="I5"/>
    </sheetView>
  </sheetViews>
  <sheetFormatPr defaultColWidth="9.14166666666667" defaultRowHeight="14.25"/>
  <cols>
    <col min="1" max="1" width="4" style="1" customWidth="1"/>
    <col min="2" max="2" width="25" style="1" customWidth="1"/>
    <col min="3" max="7" width="7.28333333333333" style="1" customWidth="1"/>
    <col min="8" max="9" width="6.70833333333333" style="1" customWidth="1"/>
    <col min="10" max="10" width="6.56666666666667" style="1" customWidth="1"/>
    <col min="11" max="11" width="4.56666666666667" style="1" hidden="1" customWidth="1"/>
    <col min="12" max="12" width="5.14166666666667" style="1" hidden="1" customWidth="1"/>
    <col min="13" max="13" width="0.283333333333333" style="1" customWidth="1"/>
    <col min="14" max="16384" width="9.14166666666667" style="1"/>
  </cols>
  <sheetData>
    <row r="1" ht="25.5" customHeight="1" spans="1:10">
      <c r="A1" s="37" t="s">
        <v>226</v>
      </c>
      <c r="B1" s="37"/>
      <c r="C1" s="37"/>
      <c r="D1" s="37"/>
      <c r="E1" s="37"/>
      <c r="F1" s="37"/>
      <c r="G1" s="37"/>
      <c r="H1" s="37"/>
      <c r="I1" s="37"/>
      <c r="J1" s="37"/>
    </row>
    <row r="2" spans="1:10">
      <c r="A2" s="38" t="s">
        <v>92</v>
      </c>
      <c r="B2" s="4" t="s">
        <v>176</v>
      </c>
      <c r="C2" s="5"/>
      <c r="D2" s="5"/>
      <c r="E2" s="5"/>
      <c r="F2" s="5"/>
      <c r="G2" s="3"/>
      <c r="H2" s="21" t="s">
        <v>177</v>
      </c>
      <c r="I2" s="21"/>
      <c r="J2" s="21"/>
    </row>
    <row r="3" spans="1:10">
      <c r="A3" s="39"/>
      <c r="B3" s="7"/>
      <c r="C3" s="8"/>
      <c r="D3" s="8"/>
      <c r="E3" s="8"/>
      <c r="F3" s="8"/>
      <c r="G3" s="6"/>
      <c r="H3" s="22">
        <v>0</v>
      </c>
      <c r="I3" s="22">
        <v>1</v>
      </c>
      <c r="J3" s="22">
        <v>2</v>
      </c>
    </row>
    <row r="4" ht="48" customHeight="1" spans="1:10">
      <c r="A4" s="268" t="s">
        <v>95</v>
      </c>
      <c r="B4" s="10" t="s">
        <v>227</v>
      </c>
      <c r="C4" s="11"/>
      <c r="D4" s="11"/>
      <c r="E4" s="11"/>
      <c r="F4" s="11"/>
      <c r="G4" s="23"/>
      <c r="H4" s="24"/>
      <c r="I4" s="24" t="s">
        <v>179</v>
      </c>
      <c r="J4" s="24"/>
    </row>
    <row r="5" ht="44.25" customHeight="1" spans="1:10">
      <c r="A5" s="268" t="s">
        <v>98</v>
      </c>
      <c r="B5" s="10" t="s">
        <v>228</v>
      </c>
      <c r="C5" s="11"/>
      <c r="D5" s="11"/>
      <c r="E5" s="11"/>
      <c r="F5" s="11"/>
      <c r="G5" s="23"/>
      <c r="H5" s="24"/>
      <c r="I5" s="24" t="s">
        <v>179</v>
      </c>
      <c r="J5" s="24"/>
    </row>
    <row r="6" ht="58.5" customHeight="1" spans="1:10">
      <c r="A6" s="268" t="s">
        <v>101</v>
      </c>
      <c r="B6" s="10" t="s">
        <v>229</v>
      </c>
      <c r="C6" s="11"/>
      <c r="D6" s="11"/>
      <c r="E6" s="11"/>
      <c r="F6" s="11"/>
      <c r="G6" s="23"/>
      <c r="H6" s="24"/>
      <c r="I6" s="24" t="s">
        <v>179</v>
      </c>
      <c r="J6" s="24"/>
    </row>
    <row r="7" ht="45" customHeight="1" spans="1:10">
      <c r="A7" s="268" t="s">
        <v>104</v>
      </c>
      <c r="B7" s="10" t="s">
        <v>230</v>
      </c>
      <c r="C7" s="11"/>
      <c r="D7" s="11"/>
      <c r="E7" s="11"/>
      <c r="F7" s="11"/>
      <c r="G7" s="23"/>
      <c r="H7" s="24"/>
      <c r="I7" s="24"/>
      <c r="J7" s="24" t="s">
        <v>179</v>
      </c>
    </row>
    <row r="8" ht="21.75" customHeight="1" spans="1:13">
      <c r="A8" s="268" t="s">
        <v>107</v>
      </c>
      <c r="B8" s="12" t="s">
        <v>231</v>
      </c>
      <c r="C8" s="13"/>
      <c r="D8" s="13"/>
      <c r="E8" s="13"/>
      <c r="F8" s="13"/>
      <c r="G8" s="25"/>
      <c r="H8" s="24"/>
      <c r="I8" s="24"/>
      <c r="J8" s="24" t="s">
        <v>179</v>
      </c>
      <c r="K8" s="1">
        <f>COUNTIF(H4:H8,"v")*0</f>
        <v>0</v>
      </c>
      <c r="L8" s="1">
        <f>COUNTIF(I4:I8,"v")</f>
        <v>3</v>
      </c>
      <c r="M8" s="1">
        <f>COUNTIF(J4:J8,"v")*2</f>
        <v>4</v>
      </c>
    </row>
    <row r="9" ht="15" customHeight="1" spans="1:10">
      <c r="A9" s="12" t="s">
        <v>232</v>
      </c>
      <c r="B9" s="13"/>
      <c r="C9" s="13"/>
      <c r="D9" s="13"/>
      <c r="E9" s="13"/>
      <c r="F9" s="13"/>
      <c r="G9" s="25"/>
      <c r="H9" s="26">
        <f>SUM(K8:M8)</f>
        <v>7</v>
      </c>
      <c r="I9" s="32"/>
      <c r="J9" s="33"/>
    </row>
    <row r="10" ht="18" customHeight="1" spans="1:10">
      <c r="A10" s="12" t="s">
        <v>233</v>
      </c>
      <c r="B10" s="13"/>
      <c r="C10" s="13"/>
      <c r="D10" s="13"/>
      <c r="E10" s="13"/>
      <c r="F10" s="13"/>
      <c r="G10" s="25"/>
      <c r="H10" s="26">
        <v>10</v>
      </c>
      <c r="I10" s="32"/>
      <c r="J10" s="33"/>
    </row>
    <row r="11" spans="1:10">
      <c r="A11" s="12" t="s">
        <v>234</v>
      </c>
      <c r="B11" s="13"/>
      <c r="C11" s="13"/>
      <c r="D11" s="13"/>
      <c r="E11" s="13"/>
      <c r="F11" s="13"/>
      <c r="G11" s="25"/>
      <c r="H11" s="27">
        <f>H9/H10</f>
        <v>0.7</v>
      </c>
      <c r="I11" s="34"/>
      <c r="J11" s="35"/>
    </row>
    <row r="12" spans="1:10">
      <c r="A12" s="14" t="s">
        <v>235</v>
      </c>
      <c r="B12" s="15"/>
      <c r="C12" s="15"/>
      <c r="D12" s="15"/>
      <c r="E12" s="15"/>
      <c r="F12" s="15"/>
      <c r="G12" s="28"/>
      <c r="H12" s="4">
        <f>IF(H11&lt;=0.25,1,IF(H11&lt;=0.5,2,IF(H11&lt;=0.75,3,4)))</f>
        <v>3</v>
      </c>
      <c r="I12" s="5"/>
      <c r="J12" s="3"/>
    </row>
    <row r="13" ht="29.25" customHeight="1" spans="1:10">
      <c r="A13" s="269" t="s">
        <v>198</v>
      </c>
      <c r="B13" s="17"/>
      <c r="C13" s="17"/>
      <c r="D13" s="17"/>
      <c r="E13" s="17"/>
      <c r="F13" s="17"/>
      <c r="G13" s="29"/>
      <c r="H13" s="7"/>
      <c r="I13" s="8"/>
      <c r="J13" s="6"/>
    </row>
    <row r="14" spans="1:1">
      <c r="A14" s="18"/>
    </row>
    <row r="15" spans="6:10">
      <c r="F15" s="41" t="str">
        <f>'KOMP-10'!F18</f>
        <v>Jakarta,</v>
      </c>
      <c r="G15" s="31" t="str">
        <f>'KOMP-10'!G18</f>
        <v>20 September 2019</v>
      </c>
      <c r="H15" s="31"/>
      <c r="I15" s="31"/>
      <c r="J15" s="31"/>
    </row>
    <row r="17" spans="1:10">
      <c r="A17" s="19" t="s">
        <v>139</v>
      </c>
      <c r="B17" s="19"/>
      <c r="C17" s="19" t="s">
        <v>140</v>
      </c>
      <c r="D17" s="19"/>
      <c r="E17" s="19"/>
      <c r="F17" s="19"/>
      <c r="G17" s="19" t="s">
        <v>141</v>
      </c>
      <c r="H17" s="19"/>
      <c r="I17" s="19"/>
      <c r="J17" s="19"/>
    </row>
    <row r="22" spans="1:10">
      <c r="A22" s="20" t="str">
        <f>'KOMP-10'!A25</f>
        <v>KHARISMA MEI RESIWATI, S.Pd.</v>
      </c>
      <c r="B22" s="20"/>
      <c r="C22" s="20" t="str">
        <f>'KOMP-10'!C25</f>
        <v>BAHRUDIN,S.Pd,M.M</v>
      </c>
      <c r="D22" s="20"/>
      <c r="E22" s="20"/>
      <c r="F22" s="20"/>
      <c r="G22" s="20" t="str">
        <f>'KOMP-10'!G25</f>
        <v>BAHRUDIN,S.Pd, M.M</v>
      </c>
      <c r="H22" s="20"/>
      <c r="I22" s="20"/>
      <c r="J22" s="20"/>
    </row>
    <row r="23" spans="1:10">
      <c r="A23" s="19" t="str">
        <f>'KOMP-10'!A26</f>
        <v>NIP </v>
      </c>
      <c r="B23" s="19"/>
      <c r="C23" s="19" t="str">
        <f>'KOMP-10'!C26</f>
        <v>NIP 196307191989031007</v>
      </c>
      <c r="D23" s="19"/>
      <c r="E23" s="19"/>
      <c r="F23" s="19"/>
      <c r="G23" s="19" t="str">
        <f>'KOMP-10'!G26</f>
        <v>NIP 196307191989031007</v>
      </c>
      <c r="H23" s="19"/>
      <c r="I23" s="19"/>
      <c r="J23" s="19"/>
    </row>
  </sheetData>
  <sheetProtection password="CEC8" sheet="1" objects="1" scenarios="1"/>
  <mergeCells count="28">
    <mergeCell ref="A1:J1"/>
    <mergeCell ref="H2:J2"/>
    <mergeCell ref="B4:G4"/>
    <mergeCell ref="B5:G5"/>
    <mergeCell ref="B6:G6"/>
    <mergeCell ref="B7:G7"/>
    <mergeCell ref="B8:G8"/>
    <mergeCell ref="A9:G9"/>
    <mergeCell ref="H9:J9"/>
    <mergeCell ref="A10:G10"/>
    <mergeCell ref="H10:J10"/>
    <mergeCell ref="A11:G11"/>
    <mergeCell ref="H11:J11"/>
    <mergeCell ref="A12:G12"/>
    <mergeCell ref="A13:G13"/>
    <mergeCell ref="G15:J15"/>
    <mergeCell ref="A17:B17"/>
    <mergeCell ref="C17:F17"/>
    <mergeCell ref="G17:J17"/>
    <mergeCell ref="A22:B22"/>
    <mergeCell ref="C22:F22"/>
    <mergeCell ref="G22:J22"/>
    <mergeCell ref="A23:B23"/>
    <mergeCell ref="C23:F23"/>
    <mergeCell ref="G23:J23"/>
    <mergeCell ref="A2:A3"/>
    <mergeCell ref="B2:G3"/>
    <mergeCell ref="H12:J13"/>
  </mergeCells>
  <pageMargins left="1.06" right="0.45" top="0.748031496062992" bottom="0.9" header="0.31496062992126" footer="0.53"/>
  <pageSetup paperSize="9" orientation="portrait"/>
  <headerFooter>
    <oddFooter>&amp;RCreated by © prie</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23"/>
  <sheetViews>
    <sheetView showGridLines="0" view="pageBreakPreview" zoomScale="115" zoomScaleNormal="100" workbookViewId="0">
      <selection activeCell="A1" sqref="A1:J1"/>
    </sheetView>
  </sheetViews>
  <sheetFormatPr defaultColWidth="9.14166666666667" defaultRowHeight="14.25"/>
  <cols>
    <col min="1" max="1" width="4" style="1" customWidth="1"/>
    <col min="2" max="2" width="25" style="1" customWidth="1"/>
    <col min="3" max="7" width="7.28333333333333" style="1" customWidth="1"/>
    <col min="8" max="10" width="6.70833333333333" style="1" customWidth="1"/>
    <col min="11" max="11" width="0.141666666666667" style="1" customWidth="1"/>
    <col min="12" max="12" width="5.70833333333333" style="1" hidden="1" customWidth="1"/>
    <col min="13" max="13" width="5.14166666666667" style="1" hidden="1" customWidth="1"/>
    <col min="14" max="16384" width="9.14166666666667" style="1"/>
  </cols>
  <sheetData>
    <row r="1" ht="31.5" customHeight="1" spans="1:10">
      <c r="A1" s="37" t="s">
        <v>236</v>
      </c>
      <c r="B1" s="37"/>
      <c r="C1" s="37"/>
      <c r="D1" s="37"/>
      <c r="E1" s="37"/>
      <c r="F1" s="37"/>
      <c r="G1" s="37"/>
      <c r="H1" s="37"/>
      <c r="I1" s="37"/>
      <c r="J1" s="37"/>
    </row>
    <row r="2" spans="1:10">
      <c r="A2" s="38" t="s">
        <v>92</v>
      </c>
      <c r="B2" s="4" t="s">
        <v>176</v>
      </c>
      <c r="C2" s="5"/>
      <c r="D2" s="5"/>
      <c r="E2" s="5"/>
      <c r="F2" s="5"/>
      <c r="G2" s="3"/>
      <c r="H2" s="21" t="s">
        <v>177</v>
      </c>
      <c r="I2" s="21"/>
      <c r="J2" s="21"/>
    </row>
    <row r="3" spans="1:10">
      <c r="A3" s="39"/>
      <c r="B3" s="7"/>
      <c r="C3" s="8"/>
      <c r="D3" s="8"/>
      <c r="E3" s="8"/>
      <c r="F3" s="8"/>
      <c r="G3" s="6"/>
      <c r="H3" s="22">
        <v>0</v>
      </c>
      <c r="I3" s="22">
        <v>1</v>
      </c>
      <c r="J3" s="22">
        <v>2</v>
      </c>
    </row>
    <row r="4" ht="30.75" customHeight="1" spans="1:10">
      <c r="A4" s="268" t="s">
        <v>95</v>
      </c>
      <c r="B4" s="10" t="s">
        <v>237</v>
      </c>
      <c r="C4" s="11"/>
      <c r="D4" s="11"/>
      <c r="E4" s="11"/>
      <c r="F4" s="11"/>
      <c r="G4" s="23"/>
      <c r="H4" s="24"/>
      <c r="I4" s="24" t="s">
        <v>179</v>
      </c>
      <c r="J4" s="24"/>
    </row>
    <row r="5" ht="45" customHeight="1" spans="1:10">
      <c r="A5" s="268" t="s">
        <v>98</v>
      </c>
      <c r="B5" s="10" t="s">
        <v>238</v>
      </c>
      <c r="C5" s="11"/>
      <c r="D5" s="11"/>
      <c r="E5" s="11"/>
      <c r="F5" s="11"/>
      <c r="G5" s="23"/>
      <c r="H5" s="24"/>
      <c r="I5" s="24"/>
      <c r="J5" s="24" t="s">
        <v>179</v>
      </c>
    </row>
    <row r="6" ht="33" customHeight="1" spans="1:10">
      <c r="A6" s="268" t="s">
        <v>101</v>
      </c>
      <c r="B6" s="10" t="s">
        <v>239</v>
      </c>
      <c r="C6" s="11"/>
      <c r="D6" s="11"/>
      <c r="E6" s="11"/>
      <c r="F6" s="11"/>
      <c r="G6" s="23"/>
      <c r="H6" s="24"/>
      <c r="I6" s="24" t="s">
        <v>179</v>
      </c>
      <c r="J6" s="24"/>
    </row>
    <row r="7" ht="30" customHeight="1" spans="1:10">
      <c r="A7" s="268" t="s">
        <v>104</v>
      </c>
      <c r="B7" s="10" t="s">
        <v>240</v>
      </c>
      <c r="C7" s="11"/>
      <c r="D7" s="11"/>
      <c r="E7" s="11"/>
      <c r="F7" s="11"/>
      <c r="G7" s="23"/>
      <c r="H7" s="24"/>
      <c r="I7" s="24" t="s">
        <v>179</v>
      </c>
      <c r="J7" s="24"/>
    </row>
    <row r="8" ht="30.75" customHeight="1" spans="1:10">
      <c r="A8" s="268" t="s">
        <v>107</v>
      </c>
      <c r="B8" s="10" t="s">
        <v>241</v>
      </c>
      <c r="C8" s="11"/>
      <c r="D8" s="11"/>
      <c r="E8" s="11"/>
      <c r="F8" s="11"/>
      <c r="G8" s="23"/>
      <c r="H8" s="24"/>
      <c r="I8" s="24"/>
      <c r="J8" s="24" t="s">
        <v>179</v>
      </c>
    </row>
    <row r="9" ht="15" customHeight="1" spans="1:13">
      <c r="A9" s="12" t="s">
        <v>242</v>
      </c>
      <c r="B9" s="13"/>
      <c r="C9" s="13"/>
      <c r="D9" s="13"/>
      <c r="E9" s="13"/>
      <c r="F9" s="13"/>
      <c r="G9" s="25"/>
      <c r="H9" s="26">
        <f>SUM(K9:M9)</f>
        <v>7</v>
      </c>
      <c r="I9" s="32"/>
      <c r="J9" s="33"/>
      <c r="K9" s="1">
        <f>COUNTIF(H4:H8,"v")*0</f>
        <v>0</v>
      </c>
      <c r="L9" s="1">
        <f>COUNTIF(I4:I8,"v")</f>
        <v>3</v>
      </c>
      <c r="M9" s="1">
        <f>COUNTIF(J4:J8,"v")*2</f>
        <v>4</v>
      </c>
    </row>
    <row r="10" ht="18" customHeight="1" spans="1:10">
      <c r="A10" s="12" t="s">
        <v>243</v>
      </c>
      <c r="B10" s="13"/>
      <c r="C10" s="13"/>
      <c r="D10" s="13"/>
      <c r="E10" s="13"/>
      <c r="F10" s="13"/>
      <c r="G10" s="25"/>
      <c r="H10" s="26">
        <v>10</v>
      </c>
      <c r="I10" s="32"/>
      <c r="J10" s="33"/>
    </row>
    <row r="11" spans="1:10">
      <c r="A11" s="12" t="s">
        <v>234</v>
      </c>
      <c r="B11" s="13"/>
      <c r="C11" s="13"/>
      <c r="D11" s="13"/>
      <c r="E11" s="13"/>
      <c r="F11" s="13"/>
      <c r="G11" s="25"/>
      <c r="H11" s="27">
        <f>H9/H10</f>
        <v>0.7</v>
      </c>
      <c r="I11" s="34"/>
      <c r="J11" s="35"/>
    </row>
    <row r="12" spans="1:10">
      <c r="A12" s="14" t="s">
        <v>244</v>
      </c>
      <c r="B12" s="15"/>
      <c r="C12" s="15"/>
      <c r="D12" s="15"/>
      <c r="E12" s="15"/>
      <c r="F12" s="15"/>
      <c r="G12" s="28"/>
      <c r="H12" s="4">
        <f>IF(H11&lt;=0.25,1,IF(H11&lt;=0.5,2,IF(H11&lt;=0.75,3,4)))</f>
        <v>3</v>
      </c>
      <c r="I12" s="5"/>
      <c r="J12" s="3"/>
    </row>
    <row r="13" ht="29.25" customHeight="1" spans="1:10">
      <c r="A13" s="269" t="s">
        <v>198</v>
      </c>
      <c r="B13" s="17"/>
      <c r="C13" s="17"/>
      <c r="D13" s="17"/>
      <c r="E13" s="17"/>
      <c r="F13" s="17"/>
      <c r="G13" s="29"/>
      <c r="H13" s="7"/>
      <c r="I13" s="8"/>
      <c r="J13" s="6"/>
    </row>
    <row r="14" spans="1:1">
      <c r="A14" s="18"/>
    </row>
    <row r="15" spans="6:10">
      <c r="F15" s="41" t="str">
        <f>'KOMP-10'!F18</f>
        <v>Jakarta,</v>
      </c>
      <c r="G15" s="31" t="str">
        <f>'KOMP-10'!G18</f>
        <v>20 September 2019</v>
      </c>
      <c r="H15" s="31"/>
      <c r="I15" s="31"/>
      <c r="J15" s="31"/>
    </row>
    <row r="17" spans="1:10">
      <c r="A17" s="19" t="s">
        <v>139</v>
      </c>
      <c r="B17" s="19"/>
      <c r="C17" s="19" t="s">
        <v>140</v>
      </c>
      <c r="D17" s="19"/>
      <c r="E17" s="19"/>
      <c r="F17" s="19"/>
      <c r="G17" s="19" t="s">
        <v>141</v>
      </c>
      <c r="H17" s="19"/>
      <c r="I17" s="19"/>
      <c r="J17" s="19"/>
    </row>
    <row r="22" spans="1:10">
      <c r="A22" s="20" t="str">
        <f>'KOMP-10'!A25</f>
        <v>KHARISMA MEI RESIWATI, S.Pd.</v>
      </c>
      <c r="B22" s="20"/>
      <c r="C22" s="20" t="str">
        <f>'KOMP-10'!C25</f>
        <v>BAHRUDIN,S.Pd,M.M</v>
      </c>
      <c r="D22" s="20"/>
      <c r="E22" s="20"/>
      <c r="F22" s="20"/>
      <c r="G22" s="20" t="str">
        <f>'KOMP-10'!G25</f>
        <v>BAHRUDIN,S.Pd, M.M</v>
      </c>
      <c r="H22" s="20"/>
      <c r="I22" s="20"/>
      <c r="J22" s="20"/>
    </row>
    <row r="23" spans="1:10">
      <c r="A23" s="19" t="str">
        <f>'KOMP-10'!A26</f>
        <v>NIP </v>
      </c>
      <c r="B23" s="19"/>
      <c r="C23" s="19" t="str">
        <f>'KOMP-10'!C26</f>
        <v>NIP 196307191989031007</v>
      </c>
      <c r="D23" s="19"/>
      <c r="E23" s="19"/>
      <c r="F23" s="19"/>
      <c r="G23" s="19" t="str">
        <f>'KOMP-10'!G26</f>
        <v>NIP 196307191989031007</v>
      </c>
      <c r="H23" s="19"/>
      <c r="I23" s="19"/>
      <c r="J23" s="19"/>
    </row>
  </sheetData>
  <sheetProtection password="CEC8" sheet="1" objects="1" scenarios="1"/>
  <mergeCells count="28">
    <mergeCell ref="A1:J1"/>
    <mergeCell ref="H2:J2"/>
    <mergeCell ref="B4:G4"/>
    <mergeCell ref="B5:G5"/>
    <mergeCell ref="B6:G6"/>
    <mergeCell ref="B7:G7"/>
    <mergeCell ref="B8:G8"/>
    <mergeCell ref="A9:G9"/>
    <mergeCell ref="H9:J9"/>
    <mergeCell ref="A10:G10"/>
    <mergeCell ref="H10:J10"/>
    <mergeCell ref="A11:G11"/>
    <mergeCell ref="H11:J11"/>
    <mergeCell ref="A12:G12"/>
    <mergeCell ref="A13:G13"/>
    <mergeCell ref="G15:J15"/>
    <mergeCell ref="A17:B17"/>
    <mergeCell ref="C17:F17"/>
    <mergeCell ref="G17:J17"/>
    <mergeCell ref="A22:B22"/>
    <mergeCell ref="C22:F22"/>
    <mergeCell ref="G22:J22"/>
    <mergeCell ref="A23:B23"/>
    <mergeCell ref="C23:F23"/>
    <mergeCell ref="G23:J23"/>
    <mergeCell ref="A2:A3"/>
    <mergeCell ref="B2:G3"/>
    <mergeCell ref="H12:J13"/>
  </mergeCells>
  <pageMargins left="1.08" right="0.37" top="0.748031496062992" bottom="2.14" header="0.31496062992126" footer="0.71"/>
  <pageSetup paperSize="9" orientation="portrait"/>
  <headerFooter>
    <oddFooter>&amp;RCreated by © prie</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M23"/>
  <sheetViews>
    <sheetView showGridLines="0" view="pageBreakPreview" zoomScale="115" zoomScaleNormal="100" workbookViewId="0">
      <selection activeCell="I5" sqref="I5"/>
    </sheetView>
  </sheetViews>
  <sheetFormatPr defaultColWidth="9.14166666666667" defaultRowHeight="14.25"/>
  <cols>
    <col min="1" max="1" width="4" style="1" customWidth="1"/>
    <col min="2" max="2" width="25" style="1" customWidth="1"/>
    <col min="3" max="7" width="7.28333333333333" style="1" customWidth="1"/>
    <col min="8" max="9" width="5.70833333333333" style="1" customWidth="1"/>
    <col min="10" max="10" width="5.425" style="1" customWidth="1"/>
    <col min="11" max="11" width="4.425" style="1" hidden="1" customWidth="1"/>
    <col min="12" max="12" width="4.85833333333333" style="1" hidden="1" customWidth="1"/>
    <col min="13" max="13" width="5.14166666666667" style="1" hidden="1" customWidth="1"/>
    <col min="14" max="16384" width="9.14166666666667" style="1"/>
  </cols>
  <sheetData>
    <row r="1" ht="25.5" customHeight="1" spans="1:10">
      <c r="A1" s="37" t="s">
        <v>245</v>
      </c>
      <c r="B1" s="37"/>
      <c r="C1" s="37"/>
      <c r="D1" s="37"/>
      <c r="E1" s="37"/>
      <c r="F1" s="37"/>
      <c r="G1" s="37"/>
      <c r="H1" s="37"/>
      <c r="I1" s="37"/>
      <c r="J1" s="37"/>
    </row>
    <row r="2" spans="1:10">
      <c r="A2" s="38" t="s">
        <v>92</v>
      </c>
      <c r="B2" s="4" t="s">
        <v>176</v>
      </c>
      <c r="C2" s="5"/>
      <c r="D2" s="5"/>
      <c r="E2" s="5"/>
      <c r="F2" s="5"/>
      <c r="G2" s="3"/>
      <c r="H2" s="21" t="s">
        <v>177</v>
      </c>
      <c r="I2" s="21"/>
      <c r="J2" s="21"/>
    </row>
    <row r="3" spans="1:10">
      <c r="A3" s="39"/>
      <c r="B3" s="7"/>
      <c r="C3" s="8"/>
      <c r="D3" s="8"/>
      <c r="E3" s="8"/>
      <c r="F3" s="8"/>
      <c r="G3" s="6"/>
      <c r="H3" s="22">
        <v>0</v>
      </c>
      <c r="I3" s="22">
        <v>1</v>
      </c>
      <c r="J3" s="22">
        <v>2</v>
      </c>
    </row>
    <row r="4" ht="44.25" customHeight="1" spans="1:10">
      <c r="A4" s="268" t="s">
        <v>95</v>
      </c>
      <c r="B4" s="10" t="s">
        <v>246</v>
      </c>
      <c r="C4" s="11"/>
      <c r="D4" s="11"/>
      <c r="E4" s="11"/>
      <c r="F4" s="11"/>
      <c r="G4" s="23"/>
      <c r="H4" s="24"/>
      <c r="I4" s="24" t="s">
        <v>179</v>
      </c>
      <c r="J4" s="24"/>
    </row>
    <row r="5" ht="73.5" customHeight="1" spans="1:10">
      <c r="A5" s="268" t="s">
        <v>98</v>
      </c>
      <c r="B5" s="10" t="s">
        <v>247</v>
      </c>
      <c r="C5" s="11"/>
      <c r="D5" s="11"/>
      <c r="E5" s="11"/>
      <c r="F5" s="11"/>
      <c r="G5" s="23"/>
      <c r="H5" s="24"/>
      <c r="I5" s="24" t="s">
        <v>179</v>
      </c>
      <c r="J5" s="24"/>
    </row>
    <row r="6" ht="59.25" customHeight="1" spans="1:10">
      <c r="A6" s="268" t="s">
        <v>101</v>
      </c>
      <c r="B6" s="10" t="s">
        <v>248</v>
      </c>
      <c r="C6" s="11"/>
      <c r="D6" s="11"/>
      <c r="E6" s="11"/>
      <c r="F6" s="11"/>
      <c r="G6" s="23"/>
      <c r="H6" s="24"/>
      <c r="I6" s="24"/>
      <c r="J6" s="24" t="s">
        <v>179</v>
      </c>
    </row>
    <row r="7" ht="58.5" customHeight="1" spans="1:10">
      <c r="A7" s="268" t="s">
        <v>104</v>
      </c>
      <c r="B7" s="10" t="s">
        <v>249</v>
      </c>
      <c r="C7" s="11"/>
      <c r="D7" s="11"/>
      <c r="E7" s="11"/>
      <c r="F7" s="11"/>
      <c r="G7" s="23"/>
      <c r="H7" s="24"/>
      <c r="I7" s="24"/>
      <c r="J7" s="24" t="s">
        <v>179</v>
      </c>
    </row>
    <row r="8" ht="29.25" customHeight="1" spans="1:10">
      <c r="A8" s="268" t="s">
        <v>107</v>
      </c>
      <c r="B8" s="10" t="s">
        <v>250</v>
      </c>
      <c r="C8" s="11"/>
      <c r="D8" s="11"/>
      <c r="E8" s="11"/>
      <c r="F8" s="11"/>
      <c r="G8" s="23"/>
      <c r="H8" s="24"/>
      <c r="I8" s="24"/>
      <c r="J8" s="24" t="s">
        <v>179</v>
      </c>
    </row>
    <row r="9" ht="15" customHeight="1" spans="1:13">
      <c r="A9" s="12" t="s">
        <v>251</v>
      </c>
      <c r="B9" s="13"/>
      <c r="C9" s="13"/>
      <c r="D9" s="13"/>
      <c r="E9" s="13"/>
      <c r="F9" s="13"/>
      <c r="G9" s="25"/>
      <c r="H9" s="26">
        <f>SUM(K9:M9)</f>
        <v>8</v>
      </c>
      <c r="I9" s="32"/>
      <c r="J9" s="33"/>
      <c r="K9" s="1">
        <f>COUNTIF(H4:H8,"v")*0</f>
        <v>0</v>
      </c>
      <c r="L9" s="1">
        <f>COUNTIF(I4:I8,"v")</f>
        <v>2</v>
      </c>
      <c r="M9" s="1">
        <f>COUNTIF(J4:J8,"v")*2</f>
        <v>6</v>
      </c>
    </row>
    <row r="10" ht="18" customHeight="1" spans="1:10">
      <c r="A10" s="12" t="s">
        <v>252</v>
      </c>
      <c r="B10" s="23"/>
      <c r="C10" s="11"/>
      <c r="D10" s="11"/>
      <c r="E10" s="11"/>
      <c r="F10" s="11"/>
      <c r="G10" s="23"/>
      <c r="H10" s="26">
        <v>10</v>
      </c>
      <c r="I10" s="32"/>
      <c r="J10" s="33"/>
    </row>
    <row r="11" spans="1:10">
      <c r="A11" s="12" t="s">
        <v>234</v>
      </c>
      <c r="B11" s="13"/>
      <c r="C11" s="13"/>
      <c r="D11" s="13"/>
      <c r="E11" s="13"/>
      <c r="F11" s="13"/>
      <c r="G11" s="25"/>
      <c r="H11" s="27">
        <f>H9/H10</f>
        <v>0.8</v>
      </c>
      <c r="I11" s="34"/>
      <c r="J11" s="35"/>
    </row>
    <row r="12" spans="1:10">
      <c r="A12" s="14" t="s">
        <v>253</v>
      </c>
      <c r="B12" s="15"/>
      <c r="C12" s="15"/>
      <c r="D12" s="15"/>
      <c r="E12" s="15"/>
      <c r="F12" s="15"/>
      <c r="G12" s="28"/>
      <c r="H12" s="4">
        <f>IF(H11&lt;=0.25,1,IF(H11&lt;=0.5,2,IF(H11&lt;=0.75,3,4)))</f>
        <v>4</v>
      </c>
      <c r="I12" s="5"/>
      <c r="J12" s="3"/>
    </row>
    <row r="13" ht="29.25" customHeight="1" spans="1:10">
      <c r="A13" s="269" t="s">
        <v>198</v>
      </c>
      <c r="B13" s="17"/>
      <c r="C13" s="17"/>
      <c r="D13" s="17"/>
      <c r="E13" s="17"/>
      <c r="F13" s="17"/>
      <c r="G13" s="29"/>
      <c r="H13" s="7"/>
      <c r="I13" s="8"/>
      <c r="J13" s="6"/>
    </row>
    <row r="14" spans="1:1">
      <c r="A14" s="18"/>
    </row>
    <row r="15" spans="6:10">
      <c r="F15" s="41" t="str">
        <f>'KOMP-10'!F18</f>
        <v>Jakarta,</v>
      </c>
      <c r="G15" s="31" t="str">
        <f>'KOMP-10'!G18</f>
        <v>20 September 2019</v>
      </c>
      <c r="H15" s="31"/>
      <c r="I15" s="31"/>
      <c r="J15" s="31"/>
    </row>
    <row r="17" spans="1:10">
      <c r="A17" s="19" t="s">
        <v>139</v>
      </c>
      <c r="B17" s="19"/>
      <c r="C17" s="19" t="s">
        <v>140</v>
      </c>
      <c r="D17" s="19"/>
      <c r="E17" s="19"/>
      <c r="F17" s="19"/>
      <c r="G17" s="19" t="s">
        <v>141</v>
      </c>
      <c r="H17" s="19"/>
      <c r="I17" s="19"/>
      <c r="J17" s="19"/>
    </row>
    <row r="22" spans="1:10">
      <c r="A22" s="20" t="str">
        <f>'KOMP-10'!A25</f>
        <v>KHARISMA MEI RESIWATI, S.Pd.</v>
      </c>
      <c r="B22" s="20"/>
      <c r="C22" s="20" t="str">
        <f>'KOMP-10'!C25</f>
        <v>BAHRUDIN,S.Pd,M.M</v>
      </c>
      <c r="D22" s="20"/>
      <c r="E22" s="20"/>
      <c r="F22" s="20"/>
      <c r="G22" s="20" t="str">
        <f>'KOMP-10'!G25</f>
        <v>BAHRUDIN,S.Pd, M.M</v>
      </c>
      <c r="H22" s="20"/>
      <c r="I22" s="20"/>
      <c r="J22" s="20"/>
    </row>
    <row r="23" spans="1:10">
      <c r="A23" s="19" t="str">
        <f>'KOMP-10'!A26</f>
        <v>NIP </v>
      </c>
      <c r="B23" s="19"/>
      <c r="C23" s="19" t="str">
        <f>'KOMP-10'!C26</f>
        <v>NIP 196307191989031007</v>
      </c>
      <c r="D23" s="19"/>
      <c r="E23" s="19"/>
      <c r="F23" s="19"/>
      <c r="G23" s="19" t="str">
        <f>'KOMP-10'!G26</f>
        <v>NIP 196307191989031007</v>
      </c>
      <c r="H23" s="19"/>
      <c r="I23" s="19"/>
      <c r="J23" s="19"/>
    </row>
  </sheetData>
  <sheetProtection password="CEC8" sheet="1" objects="1" scenarios="1"/>
  <mergeCells count="28">
    <mergeCell ref="A1:J1"/>
    <mergeCell ref="H2:J2"/>
    <mergeCell ref="B4:G4"/>
    <mergeCell ref="B5:G5"/>
    <mergeCell ref="B6:G6"/>
    <mergeCell ref="B7:G7"/>
    <mergeCell ref="B8:G8"/>
    <mergeCell ref="A9:G9"/>
    <mergeCell ref="H9:J9"/>
    <mergeCell ref="D10:G10"/>
    <mergeCell ref="H10:J10"/>
    <mergeCell ref="A11:G11"/>
    <mergeCell ref="H11:J11"/>
    <mergeCell ref="A12:G12"/>
    <mergeCell ref="A13:G13"/>
    <mergeCell ref="G15:J15"/>
    <mergeCell ref="A17:B17"/>
    <mergeCell ref="C17:F17"/>
    <mergeCell ref="G17:J17"/>
    <mergeCell ref="A22:B22"/>
    <mergeCell ref="C22:F22"/>
    <mergeCell ref="G22:J22"/>
    <mergeCell ref="A23:B23"/>
    <mergeCell ref="C23:F23"/>
    <mergeCell ref="G23:J23"/>
    <mergeCell ref="A2:A3"/>
    <mergeCell ref="B2:G3"/>
    <mergeCell ref="H12:J13"/>
  </mergeCells>
  <pageMargins left="1.1" right="0.41" top="0.748031496062992" bottom="2.07" header="0.31496062992126" footer="0.69"/>
  <pageSetup paperSize="9" orientation="portrait"/>
  <headerFooter>
    <oddFooter>&amp;RCreated by © prie</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M24"/>
  <sheetViews>
    <sheetView showGridLines="0" view="pageBreakPreview" zoomScale="115" zoomScaleNormal="100" workbookViewId="0">
      <selection activeCell="A1" sqref="A1:J1"/>
    </sheetView>
  </sheetViews>
  <sheetFormatPr defaultColWidth="9.14166666666667" defaultRowHeight="14.25"/>
  <cols>
    <col min="1" max="1" width="4" style="1" customWidth="1"/>
    <col min="2" max="2" width="25" style="1" customWidth="1"/>
    <col min="3" max="7" width="7.28333333333333" style="1" customWidth="1"/>
    <col min="8" max="10" width="6.70833333333333" style="1" customWidth="1"/>
    <col min="11" max="12" width="5.28333333333333" style="1" hidden="1" customWidth="1"/>
    <col min="13" max="13" width="0.283333333333333" style="1" customWidth="1"/>
    <col min="14" max="16384" width="9.14166666666667" style="1"/>
  </cols>
  <sheetData>
    <row r="1" ht="25.5" customHeight="1" spans="1:10">
      <c r="A1" s="37" t="s">
        <v>254</v>
      </c>
      <c r="B1" s="37"/>
      <c r="C1" s="37"/>
      <c r="D1" s="37"/>
      <c r="E1" s="37"/>
      <c r="F1" s="37"/>
      <c r="G1" s="37"/>
      <c r="H1" s="37"/>
      <c r="I1" s="37"/>
      <c r="J1" s="37"/>
    </row>
    <row r="2" spans="1:10">
      <c r="A2" s="38" t="s">
        <v>92</v>
      </c>
      <c r="B2" s="4" t="s">
        <v>176</v>
      </c>
      <c r="C2" s="5"/>
      <c r="D2" s="5"/>
      <c r="E2" s="5"/>
      <c r="F2" s="5"/>
      <c r="G2" s="3"/>
      <c r="H2" s="21" t="s">
        <v>177</v>
      </c>
      <c r="I2" s="21"/>
      <c r="J2" s="21"/>
    </row>
    <row r="3" spans="1:10">
      <c r="A3" s="39"/>
      <c r="B3" s="7"/>
      <c r="C3" s="8"/>
      <c r="D3" s="8"/>
      <c r="E3" s="8"/>
      <c r="F3" s="8"/>
      <c r="G3" s="6"/>
      <c r="H3" s="22">
        <v>0</v>
      </c>
      <c r="I3" s="22">
        <v>1</v>
      </c>
      <c r="J3" s="22">
        <v>2</v>
      </c>
    </row>
    <row r="4" ht="58.5" customHeight="1" spans="1:10">
      <c r="A4" s="268" t="s">
        <v>95</v>
      </c>
      <c r="B4" s="10" t="s">
        <v>255</v>
      </c>
      <c r="C4" s="11"/>
      <c r="D4" s="11"/>
      <c r="E4" s="11"/>
      <c r="F4" s="11"/>
      <c r="G4" s="23"/>
      <c r="H4" s="24"/>
      <c r="I4" s="24" t="s">
        <v>179</v>
      </c>
      <c r="J4" s="24"/>
    </row>
    <row r="5" ht="59.25" customHeight="1" spans="1:10">
      <c r="A5" s="268" t="s">
        <v>98</v>
      </c>
      <c r="B5" s="10" t="s">
        <v>256</v>
      </c>
      <c r="C5" s="11"/>
      <c r="D5" s="11"/>
      <c r="E5" s="11"/>
      <c r="F5" s="11"/>
      <c r="G5" s="23"/>
      <c r="H5" s="24"/>
      <c r="I5" s="24"/>
      <c r="J5" s="24" t="s">
        <v>179</v>
      </c>
    </row>
    <row r="6" ht="45" customHeight="1" spans="1:10">
      <c r="A6" s="268" t="s">
        <v>101</v>
      </c>
      <c r="B6" s="10" t="s">
        <v>257</v>
      </c>
      <c r="C6" s="11"/>
      <c r="D6" s="11"/>
      <c r="E6" s="11"/>
      <c r="F6" s="11"/>
      <c r="G6" s="23"/>
      <c r="H6" s="24"/>
      <c r="I6" s="24"/>
      <c r="J6" s="24" t="s">
        <v>179</v>
      </c>
    </row>
    <row r="7" ht="30.75" customHeight="1" spans="1:10">
      <c r="A7" s="268" t="s">
        <v>104</v>
      </c>
      <c r="B7" s="10" t="s">
        <v>258</v>
      </c>
      <c r="C7" s="11"/>
      <c r="D7" s="11"/>
      <c r="E7" s="11"/>
      <c r="F7" s="11"/>
      <c r="G7" s="23"/>
      <c r="H7" s="24"/>
      <c r="I7" s="24" t="s">
        <v>179</v>
      </c>
      <c r="J7" s="24"/>
    </row>
    <row r="8" ht="42.75" customHeight="1" spans="1:10">
      <c r="A8" s="268" t="s">
        <v>107</v>
      </c>
      <c r="B8" s="10" t="s">
        <v>259</v>
      </c>
      <c r="C8" s="11"/>
      <c r="D8" s="11"/>
      <c r="E8" s="11"/>
      <c r="F8" s="11"/>
      <c r="G8" s="23"/>
      <c r="H8" s="24"/>
      <c r="I8" s="24" t="s">
        <v>179</v>
      </c>
      <c r="J8" s="24"/>
    </row>
    <row r="9" ht="45.75" customHeight="1" spans="1:10">
      <c r="A9" s="268" t="s">
        <v>110</v>
      </c>
      <c r="B9" s="10" t="s">
        <v>260</v>
      </c>
      <c r="C9" s="11"/>
      <c r="D9" s="11"/>
      <c r="E9" s="11"/>
      <c r="F9" s="11"/>
      <c r="G9" s="23"/>
      <c r="H9" s="24"/>
      <c r="I9" s="24" t="s">
        <v>179</v>
      </c>
      <c r="J9" s="24"/>
    </row>
    <row r="10" ht="15" customHeight="1" spans="1:13">
      <c r="A10" s="12" t="s">
        <v>261</v>
      </c>
      <c r="B10" s="13"/>
      <c r="C10" s="13"/>
      <c r="D10" s="13"/>
      <c r="E10" s="13"/>
      <c r="F10" s="13"/>
      <c r="G10" s="25"/>
      <c r="H10" s="26">
        <f>SUM(K10:M10)</f>
        <v>8</v>
      </c>
      <c r="I10" s="32"/>
      <c r="J10" s="33"/>
      <c r="K10" s="1">
        <f>COUNTIF(H4:H9,"v")*0</f>
        <v>0</v>
      </c>
      <c r="L10" s="1">
        <f>COUNTIF(I4:I9,"v")</f>
        <v>4</v>
      </c>
      <c r="M10" s="1">
        <f>COUNTIF(J4:J9,"v")*2</f>
        <v>4</v>
      </c>
    </row>
    <row r="11" ht="18" customHeight="1" spans="1:10">
      <c r="A11" s="12" t="s">
        <v>262</v>
      </c>
      <c r="B11" s="13"/>
      <c r="C11" s="13"/>
      <c r="D11" s="13"/>
      <c r="E11" s="13"/>
      <c r="F11" s="13"/>
      <c r="G11" s="25"/>
      <c r="H11" s="26">
        <v>12</v>
      </c>
      <c r="I11" s="32"/>
      <c r="J11" s="33"/>
    </row>
    <row r="12" spans="1:10">
      <c r="A12" s="12" t="s">
        <v>187</v>
      </c>
      <c r="B12" s="13"/>
      <c r="C12" s="13"/>
      <c r="D12" s="13"/>
      <c r="E12" s="13"/>
      <c r="F12" s="13"/>
      <c r="G12" s="25"/>
      <c r="H12" s="27">
        <f>H10/H11</f>
        <v>0.666666666666667</v>
      </c>
      <c r="I12" s="34"/>
      <c r="J12" s="35"/>
    </row>
    <row r="13" spans="1:10">
      <c r="A13" s="14" t="s">
        <v>263</v>
      </c>
      <c r="B13" s="15"/>
      <c r="C13" s="15"/>
      <c r="D13" s="15"/>
      <c r="E13" s="15"/>
      <c r="F13" s="15"/>
      <c r="G13" s="28"/>
      <c r="H13" s="4">
        <f>IF(H12&lt;=0.25,1,IF(H12&lt;=0.5,2,IF(H12&lt;=0.75,3,4)))</f>
        <v>3</v>
      </c>
      <c r="I13" s="5"/>
      <c r="J13" s="3"/>
    </row>
    <row r="14" ht="29.25" customHeight="1" spans="1:10">
      <c r="A14" s="269" t="s">
        <v>198</v>
      </c>
      <c r="B14" s="17"/>
      <c r="C14" s="17"/>
      <c r="D14" s="17"/>
      <c r="E14" s="17"/>
      <c r="F14" s="17"/>
      <c r="G14" s="29"/>
      <c r="H14" s="7"/>
      <c r="I14" s="8"/>
      <c r="J14" s="6"/>
    </row>
    <row r="16" spans="6:10">
      <c r="F16" s="30" t="str">
        <f>'KOMP-7'!F15</f>
        <v>Jakarta,</v>
      </c>
      <c r="G16" s="31" t="str">
        <f>'KOMP-7'!G15</f>
        <v>20 September 2019</v>
      </c>
      <c r="H16" s="31"/>
      <c r="I16" s="31"/>
      <c r="J16" s="31"/>
    </row>
    <row r="18" spans="1:10">
      <c r="A18" s="19" t="s">
        <v>139</v>
      </c>
      <c r="B18" s="19"/>
      <c r="C18" s="19" t="s">
        <v>140</v>
      </c>
      <c r="D18" s="19"/>
      <c r="E18" s="19"/>
      <c r="F18" s="19"/>
      <c r="G18" s="19" t="s">
        <v>141</v>
      </c>
      <c r="H18" s="19"/>
      <c r="I18" s="19"/>
      <c r="J18" s="19"/>
    </row>
    <row r="23" spans="1:10">
      <c r="A23" s="20" t="str">
        <f>'KOMP-7'!A22:B22</f>
        <v>KHARISMA MEI RESIWATI, S.Pd.</v>
      </c>
      <c r="B23" s="20"/>
      <c r="C23" s="20" t="str">
        <f>'KOMP-7'!C22:F22</f>
        <v>BAHRUDIN,S.Pd,M.M</v>
      </c>
      <c r="D23" s="20"/>
      <c r="E23" s="20"/>
      <c r="F23" s="20"/>
      <c r="G23" s="20" t="str">
        <f>'KOMP-7'!G22:J22</f>
        <v>BAHRUDIN,S.Pd, M.M</v>
      </c>
      <c r="H23" s="20"/>
      <c r="I23" s="20"/>
      <c r="J23" s="20"/>
    </row>
    <row r="24" spans="1:10">
      <c r="A24" s="19" t="str">
        <f>'KOMP-7'!A23:B23</f>
        <v>NIP </v>
      </c>
      <c r="B24" s="19"/>
      <c r="C24" s="19" t="str">
        <f>'KOMP-7'!C23:F23</f>
        <v>NIP 196307191989031007</v>
      </c>
      <c r="D24" s="19"/>
      <c r="E24" s="19"/>
      <c r="F24" s="19"/>
      <c r="G24" s="19" t="str">
        <f>'KOMP-7'!G23:J23</f>
        <v>NIP 196307191989031007</v>
      </c>
      <c r="H24" s="19"/>
      <c r="I24" s="19"/>
      <c r="J24" s="19"/>
    </row>
  </sheetData>
  <sheetProtection password="CEC8" sheet="1" objects="1" scenarios="1"/>
  <mergeCells count="29">
    <mergeCell ref="A1:J1"/>
    <mergeCell ref="H2:J2"/>
    <mergeCell ref="B4:G4"/>
    <mergeCell ref="B5:G5"/>
    <mergeCell ref="B6:G6"/>
    <mergeCell ref="B7:G7"/>
    <mergeCell ref="B8:G8"/>
    <mergeCell ref="B9:G9"/>
    <mergeCell ref="A10:G10"/>
    <mergeCell ref="H10:J10"/>
    <mergeCell ref="A11:G11"/>
    <mergeCell ref="H11:J11"/>
    <mergeCell ref="A12:G12"/>
    <mergeCell ref="H12:J12"/>
    <mergeCell ref="A13:G13"/>
    <mergeCell ref="A14:G14"/>
    <mergeCell ref="G16:J16"/>
    <mergeCell ref="A18:B18"/>
    <mergeCell ref="C18:F18"/>
    <mergeCell ref="G18:J18"/>
    <mergeCell ref="A23:B23"/>
    <mergeCell ref="C23:F23"/>
    <mergeCell ref="G23:J23"/>
    <mergeCell ref="A24:B24"/>
    <mergeCell ref="C24:F24"/>
    <mergeCell ref="G24:J24"/>
    <mergeCell ref="A2:A3"/>
    <mergeCell ref="B2:G3"/>
    <mergeCell ref="H13:J14"/>
  </mergeCells>
  <pageMargins left="1.08" right="0.43" top="0.748031496062992" bottom="1.55" header="0.31496062992126" footer="0.45"/>
  <pageSetup paperSize="9" orientation="portrait"/>
  <headerFooter>
    <oddFooter>&amp;RCreated by © prie</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M25"/>
  <sheetViews>
    <sheetView showGridLines="0" view="pageBreakPreview" zoomScale="115" zoomScaleNormal="100" workbookViewId="0">
      <selection activeCell="J5" sqref="J5"/>
    </sheetView>
  </sheetViews>
  <sheetFormatPr defaultColWidth="9.14166666666667" defaultRowHeight="14.25"/>
  <cols>
    <col min="1" max="1" width="4" style="1" customWidth="1"/>
    <col min="2" max="2" width="25" style="1" customWidth="1"/>
    <col min="3" max="7" width="7.28333333333333" style="1" customWidth="1"/>
    <col min="8" max="10" width="6.70833333333333" style="1" customWidth="1"/>
    <col min="11" max="11" width="0.141666666666667" style="1" customWidth="1"/>
    <col min="12" max="12" width="5.28333333333333" style="1" hidden="1" customWidth="1"/>
    <col min="13" max="13" width="0.141666666666667" style="1" customWidth="1"/>
    <col min="14" max="16384" width="9.14166666666667" style="1"/>
  </cols>
  <sheetData>
    <row r="1" ht="25.5" customHeight="1" spans="1:10">
      <c r="A1" s="37" t="s">
        <v>264</v>
      </c>
      <c r="B1" s="37"/>
      <c r="C1" s="37"/>
      <c r="D1" s="37"/>
      <c r="E1" s="37"/>
      <c r="F1" s="37"/>
      <c r="G1" s="37"/>
      <c r="H1" s="37"/>
      <c r="I1" s="37"/>
      <c r="J1" s="37"/>
    </row>
    <row r="2" spans="1:10">
      <c r="A2" s="38" t="s">
        <v>92</v>
      </c>
      <c r="B2" s="4" t="s">
        <v>176</v>
      </c>
      <c r="C2" s="5"/>
      <c r="D2" s="5"/>
      <c r="E2" s="5"/>
      <c r="F2" s="5"/>
      <c r="G2" s="3"/>
      <c r="H2" s="40" t="s">
        <v>177</v>
      </c>
      <c r="I2" s="40"/>
      <c r="J2" s="40"/>
    </row>
    <row r="3" spans="1:10">
      <c r="A3" s="39"/>
      <c r="B3" s="7"/>
      <c r="C3" s="8"/>
      <c r="D3" s="8"/>
      <c r="E3" s="8"/>
      <c r="F3" s="8"/>
      <c r="G3" s="6"/>
      <c r="H3" s="22">
        <v>0</v>
      </c>
      <c r="I3" s="22">
        <v>1</v>
      </c>
      <c r="J3" s="22">
        <v>2</v>
      </c>
    </row>
    <row r="4" ht="44.25" customHeight="1" spans="1:10">
      <c r="A4" s="268" t="s">
        <v>95</v>
      </c>
      <c r="B4" s="10" t="s">
        <v>265</v>
      </c>
      <c r="C4" s="11"/>
      <c r="D4" s="11"/>
      <c r="E4" s="11"/>
      <c r="F4" s="11"/>
      <c r="G4" s="23"/>
      <c r="H4" s="24"/>
      <c r="I4" s="24"/>
      <c r="J4" s="24" t="s">
        <v>179</v>
      </c>
    </row>
    <row r="5" ht="45.75" customHeight="1" spans="1:10">
      <c r="A5" s="268" t="s">
        <v>98</v>
      </c>
      <c r="B5" s="10" t="s">
        <v>266</v>
      </c>
      <c r="C5" s="11"/>
      <c r="D5" s="11"/>
      <c r="E5" s="11"/>
      <c r="F5" s="11"/>
      <c r="G5" s="23"/>
      <c r="H5" s="24"/>
      <c r="I5" s="24"/>
      <c r="J5" s="24" t="s">
        <v>179</v>
      </c>
    </row>
    <row r="6" ht="42.75" customHeight="1" spans="1:10">
      <c r="A6" s="268" t="s">
        <v>101</v>
      </c>
      <c r="B6" s="10" t="s">
        <v>267</v>
      </c>
      <c r="C6" s="11"/>
      <c r="D6" s="11"/>
      <c r="E6" s="11"/>
      <c r="F6" s="11"/>
      <c r="G6" s="23"/>
      <c r="H6" s="24"/>
      <c r="I6" s="24" t="s">
        <v>179</v>
      </c>
      <c r="J6" s="24"/>
    </row>
    <row r="7" ht="44.25" customHeight="1" spans="1:10">
      <c r="A7" s="268" t="s">
        <v>104</v>
      </c>
      <c r="B7" s="10" t="s">
        <v>268</v>
      </c>
      <c r="C7" s="11"/>
      <c r="D7" s="11"/>
      <c r="E7" s="11"/>
      <c r="F7" s="11"/>
      <c r="G7" s="23"/>
      <c r="H7" s="24"/>
      <c r="I7" s="24" t="s">
        <v>179</v>
      </c>
      <c r="J7" s="24"/>
    </row>
    <row r="8" ht="29.25" customHeight="1" spans="1:10">
      <c r="A8" s="268" t="s">
        <v>107</v>
      </c>
      <c r="B8" s="10" t="s">
        <v>269</v>
      </c>
      <c r="C8" s="11"/>
      <c r="D8" s="11"/>
      <c r="E8" s="11"/>
      <c r="F8" s="11"/>
      <c r="G8" s="23"/>
      <c r="H8" s="24"/>
      <c r="I8" s="24"/>
      <c r="J8" s="24" t="s">
        <v>179</v>
      </c>
    </row>
    <row r="9" ht="30.75" customHeight="1" spans="1:10">
      <c r="A9" s="268" t="s">
        <v>110</v>
      </c>
      <c r="B9" s="10" t="s">
        <v>270</v>
      </c>
      <c r="C9" s="11"/>
      <c r="D9" s="11"/>
      <c r="E9" s="11"/>
      <c r="F9" s="11"/>
      <c r="G9" s="23"/>
      <c r="H9" s="24"/>
      <c r="I9" s="24" t="s">
        <v>179</v>
      </c>
      <c r="J9" s="24"/>
    </row>
    <row r="10" ht="44.25" customHeight="1" spans="1:10">
      <c r="A10" s="268" t="s">
        <v>113</v>
      </c>
      <c r="B10" s="10" t="s">
        <v>271</v>
      </c>
      <c r="C10" s="11"/>
      <c r="D10" s="11"/>
      <c r="E10" s="11"/>
      <c r="F10" s="11"/>
      <c r="G10" s="23"/>
      <c r="H10" s="24"/>
      <c r="I10" s="24"/>
      <c r="J10" s="24" t="s">
        <v>179</v>
      </c>
    </row>
    <row r="11" ht="15" customHeight="1" spans="1:13">
      <c r="A11" s="12" t="s">
        <v>272</v>
      </c>
      <c r="B11" s="13"/>
      <c r="C11" s="13"/>
      <c r="D11" s="13"/>
      <c r="E11" s="13"/>
      <c r="F11" s="13"/>
      <c r="G11" s="25"/>
      <c r="H11" s="26">
        <f>SUM(K11:M11)</f>
        <v>11</v>
      </c>
      <c r="I11" s="32"/>
      <c r="J11" s="33"/>
      <c r="K11" s="1">
        <f>COUNTIF(H4:H10,"v")*0</f>
        <v>0</v>
      </c>
      <c r="L11" s="1">
        <f>COUNTIF(I4:I10,"v")</f>
        <v>3</v>
      </c>
      <c r="M11" s="1">
        <f>COUNTIF(J4:J10,"v")*2</f>
        <v>8</v>
      </c>
    </row>
    <row r="12" ht="18" customHeight="1" spans="1:10">
      <c r="A12" s="12" t="s">
        <v>273</v>
      </c>
      <c r="B12" s="13"/>
      <c r="C12" s="13"/>
      <c r="D12" s="13"/>
      <c r="E12" s="13"/>
      <c r="F12" s="13"/>
      <c r="G12" s="25"/>
      <c r="H12" s="26">
        <v>14</v>
      </c>
      <c r="I12" s="32"/>
      <c r="J12" s="33"/>
    </row>
    <row r="13" spans="1:10">
      <c r="A13" s="12" t="s">
        <v>274</v>
      </c>
      <c r="B13" s="13"/>
      <c r="C13" s="13"/>
      <c r="D13" s="13"/>
      <c r="E13" s="13"/>
      <c r="F13" s="13"/>
      <c r="G13" s="25"/>
      <c r="H13" s="27">
        <f>H11/H12</f>
        <v>0.785714285714286</v>
      </c>
      <c r="I13" s="34"/>
      <c r="J13" s="35"/>
    </row>
    <row r="14" spans="1:10">
      <c r="A14" s="14" t="s">
        <v>275</v>
      </c>
      <c r="B14" s="15"/>
      <c r="C14" s="15"/>
      <c r="D14" s="15"/>
      <c r="E14" s="15"/>
      <c r="F14" s="15"/>
      <c r="G14" s="28"/>
      <c r="H14" s="4">
        <f>IF(H13&lt;=0.25,1,IF(H13&lt;=0.5,2,IF(H13&lt;=0.75,3,4)))</f>
        <v>4</v>
      </c>
      <c r="I14" s="5"/>
      <c r="J14" s="3"/>
    </row>
    <row r="15" ht="29.25" customHeight="1" spans="1:10">
      <c r="A15" s="269" t="s">
        <v>198</v>
      </c>
      <c r="B15" s="17"/>
      <c r="C15" s="17"/>
      <c r="D15" s="17"/>
      <c r="E15" s="17"/>
      <c r="F15" s="17"/>
      <c r="G15" s="29"/>
      <c r="H15" s="7"/>
      <c r="I15" s="8"/>
      <c r="J15" s="6"/>
    </row>
    <row r="17" spans="6:10">
      <c r="F17" s="30" t="str">
        <f>'KOMP-6'!F16</f>
        <v>Jakarta,</v>
      </c>
      <c r="G17" s="31" t="str">
        <f>'KOMP-6'!G16</f>
        <v>20 September 2019</v>
      </c>
      <c r="H17" s="31"/>
      <c r="I17" s="31"/>
      <c r="J17" s="31"/>
    </row>
    <row r="19" spans="1:10">
      <c r="A19" s="19" t="s">
        <v>139</v>
      </c>
      <c r="B19" s="19"/>
      <c r="C19" s="19" t="s">
        <v>140</v>
      </c>
      <c r="D19" s="19"/>
      <c r="E19" s="19"/>
      <c r="F19" s="19"/>
      <c r="G19" s="19" t="s">
        <v>141</v>
      </c>
      <c r="H19" s="19"/>
      <c r="I19" s="19"/>
      <c r="J19" s="19"/>
    </row>
    <row r="24" spans="1:10">
      <c r="A24" s="20" t="str">
        <f>'KOMP-6'!A23:B23</f>
        <v>KHARISMA MEI RESIWATI, S.Pd.</v>
      </c>
      <c r="B24" s="20"/>
      <c r="C24" s="20" t="str">
        <f>'KOMP-6'!C23:F23</f>
        <v>BAHRUDIN,S.Pd,M.M</v>
      </c>
      <c r="D24" s="20"/>
      <c r="E24" s="20"/>
      <c r="F24" s="20"/>
      <c r="G24" s="20" t="str">
        <f>'KOMP-6'!G23:J23</f>
        <v>BAHRUDIN,S.Pd, M.M</v>
      </c>
      <c r="H24" s="20"/>
      <c r="I24" s="20"/>
      <c r="J24" s="20"/>
    </row>
    <row r="25" spans="1:10">
      <c r="A25" s="19" t="str">
        <f>'KOMP-6'!A24:B24</f>
        <v>NIP </v>
      </c>
      <c r="B25" s="19"/>
      <c r="C25" s="19" t="str">
        <f>'KOMP-6'!C24:F24</f>
        <v>NIP 196307191989031007</v>
      </c>
      <c r="D25" s="19"/>
      <c r="E25" s="19"/>
      <c r="F25" s="19"/>
      <c r="G25" s="19" t="str">
        <f>'KOMP-6'!G24:J24</f>
        <v>NIP 196307191989031007</v>
      </c>
      <c r="H25" s="19"/>
      <c r="I25" s="19"/>
      <c r="J25" s="19"/>
    </row>
  </sheetData>
  <sheetProtection password="CEC8" sheet="1" objects="1" scenarios="1"/>
  <mergeCells count="30">
    <mergeCell ref="A1:J1"/>
    <mergeCell ref="H2:J2"/>
    <mergeCell ref="B4:G4"/>
    <mergeCell ref="B5:G5"/>
    <mergeCell ref="B6:G6"/>
    <mergeCell ref="B7:G7"/>
    <mergeCell ref="B8:G8"/>
    <mergeCell ref="B9:G9"/>
    <mergeCell ref="B10:G10"/>
    <mergeCell ref="A11:G11"/>
    <mergeCell ref="H11:J11"/>
    <mergeCell ref="A12:G12"/>
    <mergeCell ref="H12:J12"/>
    <mergeCell ref="A13:G13"/>
    <mergeCell ref="H13:J13"/>
    <mergeCell ref="A14:G14"/>
    <mergeCell ref="A15:G15"/>
    <mergeCell ref="G17:J17"/>
    <mergeCell ref="A19:B19"/>
    <mergeCell ref="C19:F19"/>
    <mergeCell ref="G19:J19"/>
    <mergeCell ref="A24:B24"/>
    <mergeCell ref="C24:F24"/>
    <mergeCell ref="G24:J24"/>
    <mergeCell ref="A25:B25"/>
    <mergeCell ref="C25:F25"/>
    <mergeCell ref="G25:J25"/>
    <mergeCell ref="A2:A3"/>
    <mergeCell ref="B2:G3"/>
    <mergeCell ref="H14:J15"/>
  </mergeCells>
  <pageMargins left="1.06" right="0.41" top="0.748031496062992" bottom="2.05" header="0.31496062992126" footer="0.61"/>
  <pageSetup paperSize="9" orientation="portrait"/>
  <headerFooter>
    <oddFooter>&amp;RCreated by © prie</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M29"/>
  <sheetViews>
    <sheetView showGridLines="0" view="pageBreakPreview" zoomScale="115" zoomScaleNormal="100" workbookViewId="0">
      <selection activeCell="A1" sqref="A1:J1"/>
    </sheetView>
  </sheetViews>
  <sheetFormatPr defaultColWidth="9.14166666666667" defaultRowHeight="14.25"/>
  <cols>
    <col min="1" max="1" width="4" style="1" customWidth="1"/>
    <col min="2" max="2" width="25" style="1" customWidth="1"/>
    <col min="3" max="7" width="7.28333333333333" style="1" customWidth="1"/>
    <col min="8" max="9" width="6.70833333333333" style="1" customWidth="1"/>
    <col min="10" max="10" width="6.56666666666667" style="1" customWidth="1"/>
    <col min="11" max="12" width="4.425" style="1" hidden="1" customWidth="1"/>
    <col min="13" max="13" width="0.283333333333333" style="1" customWidth="1"/>
    <col min="14" max="16384" width="9.14166666666667" style="1"/>
  </cols>
  <sheetData>
    <row r="1" ht="16.5" customHeight="1" spans="1:10">
      <c r="A1" s="37" t="s">
        <v>276</v>
      </c>
      <c r="B1" s="37"/>
      <c r="C1" s="37"/>
      <c r="D1" s="37"/>
      <c r="E1" s="37"/>
      <c r="F1" s="37"/>
      <c r="G1" s="37"/>
      <c r="H1" s="37"/>
      <c r="I1" s="37"/>
      <c r="J1" s="37"/>
    </row>
    <row r="2" ht="12" customHeight="1" spans="1:10">
      <c r="A2" s="38" t="s">
        <v>92</v>
      </c>
      <c r="B2" s="4" t="s">
        <v>176</v>
      </c>
      <c r="C2" s="5"/>
      <c r="D2" s="5"/>
      <c r="E2" s="5"/>
      <c r="F2" s="5"/>
      <c r="G2" s="3"/>
      <c r="H2" s="21" t="s">
        <v>177</v>
      </c>
      <c r="I2" s="21"/>
      <c r="J2" s="21"/>
    </row>
    <row r="3" spans="1:10">
      <c r="A3" s="39"/>
      <c r="B3" s="7"/>
      <c r="C3" s="8"/>
      <c r="D3" s="8"/>
      <c r="E3" s="8"/>
      <c r="F3" s="8"/>
      <c r="G3" s="6"/>
      <c r="H3" s="22">
        <v>0</v>
      </c>
      <c r="I3" s="22">
        <v>1</v>
      </c>
      <c r="J3" s="22">
        <v>2</v>
      </c>
    </row>
    <row r="4" ht="58.5" customHeight="1" spans="1:10">
      <c r="A4" s="268" t="s">
        <v>95</v>
      </c>
      <c r="B4" s="10" t="s">
        <v>277</v>
      </c>
      <c r="C4" s="11"/>
      <c r="D4" s="11"/>
      <c r="E4" s="11"/>
      <c r="F4" s="11"/>
      <c r="G4" s="23"/>
      <c r="H4" s="24"/>
      <c r="I4" s="24"/>
      <c r="J4" s="24" t="s">
        <v>179</v>
      </c>
    </row>
    <row r="5" ht="42.75" customHeight="1" spans="1:10">
      <c r="A5" s="268" t="s">
        <v>98</v>
      </c>
      <c r="B5" s="10" t="s">
        <v>278</v>
      </c>
      <c r="C5" s="11"/>
      <c r="D5" s="11"/>
      <c r="E5" s="11"/>
      <c r="F5" s="11"/>
      <c r="G5" s="23"/>
      <c r="H5" s="24"/>
      <c r="I5" s="24"/>
      <c r="J5" s="24" t="s">
        <v>179</v>
      </c>
    </row>
    <row r="6" ht="30.75" customHeight="1" spans="1:10">
      <c r="A6" s="268" t="s">
        <v>101</v>
      </c>
      <c r="B6" s="10" t="s">
        <v>279</v>
      </c>
      <c r="C6" s="11"/>
      <c r="D6" s="11"/>
      <c r="E6" s="11"/>
      <c r="F6" s="11"/>
      <c r="G6" s="23"/>
      <c r="H6" s="24"/>
      <c r="I6" s="24"/>
      <c r="J6" s="24" t="s">
        <v>179</v>
      </c>
    </row>
    <row r="7" ht="87" customHeight="1" spans="1:10">
      <c r="A7" s="268" t="s">
        <v>104</v>
      </c>
      <c r="B7" s="10" t="s">
        <v>280</v>
      </c>
      <c r="C7" s="11"/>
      <c r="D7" s="11"/>
      <c r="E7" s="11"/>
      <c r="F7" s="11"/>
      <c r="G7" s="23"/>
      <c r="H7" s="24"/>
      <c r="I7" s="24" t="s">
        <v>179</v>
      </c>
      <c r="J7" s="24"/>
    </row>
    <row r="8" ht="45.75" customHeight="1" spans="1:10">
      <c r="A8" s="268" t="s">
        <v>107</v>
      </c>
      <c r="B8" s="10" t="s">
        <v>281</v>
      </c>
      <c r="C8" s="11"/>
      <c r="D8" s="11"/>
      <c r="E8" s="11"/>
      <c r="F8" s="11"/>
      <c r="G8" s="23"/>
      <c r="H8" s="24"/>
      <c r="I8" s="24" t="s">
        <v>179</v>
      </c>
      <c r="J8" s="24"/>
    </row>
    <row r="9" ht="60" customHeight="1" spans="1:10">
      <c r="A9" s="268" t="s">
        <v>110</v>
      </c>
      <c r="B9" s="10" t="s">
        <v>282</v>
      </c>
      <c r="C9" s="11"/>
      <c r="D9" s="11"/>
      <c r="E9" s="11"/>
      <c r="F9" s="11"/>
      <c r="G9" s="23"/>
      <c r="H9" s="24"/>
      <c r="I9" s="24" t="s">
        <v>179</v>
      </c>
      <c r="J9" s="24"/>
    </row>
    <row r="10" ht="45.75" customHeight="1" spans="1:10">
      <c r="A10" s="268" t="s">
        <v>113</v>
      </c>
      <c r="B10" s="10" t="s">
        <v>283</v>
      </c>
      <c r="C10" s="11"/>
      <c r="D10" s="11"/>
      <c r="E10" s="11"/>
      <c r="F10" s="11"/>
      <c r="G10" s="23"/>
      <c r="H10" s="24"/>
      <c r="I10" s="24"/>
      <c r="J10" s="24" t="s">
        <v>179</v>
      </c>
    </row>
    <row r="11" ht="32.25" customHeight="1" spans="1:10">
      <c r="A11" s="268" t="s">
        <v>116</v>
      </c>
      <c r="B11" s="10" t="s">
        <v>284</v>
      </c>
      <c r="C11" s="11"/>
      <c r="D11" s="11"/>
      <c r="E11" s="11"/>
      <c r="F11" s="11"/>
      <c r="G11" s="23"/>
      <c r="H11" s="24"/>
      <c r="I11" s="24"/>
      <c r="J11" s="24" t="s">
        <v>179</v>
      </c>
    </row>
    <row r="12" ht="33" customHeight="1" spans="1:10">
      <c r="A12" s="268" t="s">
        <v>119</v>
      </c>
      <c r="B12" s="10" t="s">
        <v>285</v>
      </c>
      <c r="C12" s="11"/>
      <c r="D12" s="11"/>
      <c r="E12" s="11"/>
      <c r="F12" s="11"/>
      <c r="G12" s="23"/>
      <c r="H12" s="24"/>
      <c r="I12" s="24" t="s">
        <v>179</v>
      </c>
      <c r="J12" s="24"/>
    </row>
    <row r="13" ht="59.25" customHeight="1" spans="1:10">
      <c r="A13" s="268" t="s">
        <v>286</v>
      </c>
      <c r="B13" s="10" t="s">
        <v>287</v>
      </c>
      <c r="C13" s="11"/>
      <c r="D13" s="11"/>
      <c r="E13" s="11"/>
      <c r="F13" s="11"/>
      <c r="G13" s="23"/>
      <c r="H13" s="24"/>
      <c r="I13" s="24" t="s">
        <v>179</v>
      </c>
      <c r="J13" s="24"/>
    </row>
    <row r="14" ht="44.25" customHeight="1" spans="1:10">
      <c r="A14" s="268" t="s">
        <v>125</v>
      </c>
      <c r="B14" s="10" t="s">
        <v>288</v>
      </c>
      <c r="C14" s="11"/>
      <c r="D14" s="11"/>
      <c r="E14" s="11"/>
      <c r="F14" s="11"/>
      <c r="G14" s="23"/>
      <c r="H14" s="24"/>
      <c r="I14" s="24"/>
      <c r="J14" s="24" t="s">
        <v>179</v>
      </c>
    </row>
    <row r="15" ht="15" customHeight="1" spans="1:13">
      <c r="A15" s="12" t="s">
        <v>289</v>
      </c>
      <c r="B15" s="13"/>
      <c r="C15" s="13"/>
      <c r="D15" s="13"/>
      <c r="E15" s="13"/>
      <c r="F15" s="13"/>
      <c r="G15" s="25"/>
      <c r="H15" s="26">
        <f>SUM(K15:M15)</f>
        <v>17</v>
      </c>
      <c r="I15" s="32"/>
      <c r="J15" s="33"/>
      <c r="K15" s="1">
        <f>COUNTIF(H4:H14,"v")*0</f>
        <v>0</v>
      </c>
      <c r="L15" s="1">
        <f t="shared" ref="L15" si="0">COUNTIF(I4:I14,"v")</f>
        <v>5</v>
      </c>
      <c r="M15" s="1">
        <f>COUNTIF(J4:J14,"v")*2</f>
        <v>12</v>
      </c>
    </row>
    <row r="16" ht="18" customHeight="1" spans="1:10">
      <c r="A16" s="12" t="s">
        <v>290</v>
      </c>
      <c r="B16" s="13"/>
      <c r="C16" s="13"/>
      <c r="D16" s="13"/>
      <c r="E16" s="13"/>
      <c r="F16" s="13"/>
      <c r="G16" s="25"/>
      <c r="H16" s="26">
        <v>22</v>
      </c>
      <c r="I16" s="32"/>
      <c r="J16" s="33"/>
    </row>
    <row r="17" spans="1:10">
      <c r="A17" s="12" t="s">
        <v>291</v>
      </c>
      <c r="B17" s="13"/>
      <c r="C17" s="13"/>
      <c r="D17" s="13"/>
      <c r="E17" s="13"/>
      <c r="F17" s="13"/>
      <c r="G17" s="25"/>
      <c r="H17" s="27">
        <f>H15/H16</f>
        <v>0.772727272727273</v>
      </c>
      <c r="I17" s="34"/>
      <c r="J17" s="35"/>
    </row>
    <row r="18" spans="1:10">
      <c r="A18" s="14" t="s">
        <v>292</v>
      </c>
      <c r="B18" s="15"/>
      <c r="C18" s="15"/>
      <c r="D18" s="15"/>
      <c r="E18" s="15"/>
      <c r="F18" s="15"/>
      <c r="G18" s="28"/>
      <c r="H18" s="4">
        <f>IF(H17&lt;=0.25,1,IF(H17&lt;=0.5,2,IF(H17&lt;=0.75,3,4)))</f>
        <v>4</v>
      </c>
      <c r="I18" s="5"/>
      <c r="J18" s="3"/>
    </row>
    <row r="19" ht="29.25" customHeight="1" spans="1:10">
      <c r="A19" s="269" t="s">
        <v>198</v>
      </c>
      <c r="B19" s="17"/>
      <c r="C19" s="17"/>
      <c r="D19" s="17"/>
      <c r="E19" s="17"/>
      <c r="F19" s="17"/>
      <c r="G19" s="29"/>
      <c r="H19" s="7"/>
      <c r="I19" s="8"/>
      <c r="J19" s="6"/>
    </row>
    <row r="20" ht="4.5" customHeight="1"/>
    <row r="21" spans="6:10">
      <c r="F21" s="30" t="str">
        <f>'KOMP-5'!F17</f>
        <v>Jakarta,</v>
      </c>
      <c r="G21" s="31" t="str">
        <f>'KOMP-5'!G17:J17</f>
        <v>20 September 2019</v>
      </c>
      <c r="H21" s="31"/>
      <c r="I21" s="31"/>
      <c r="J21" s="36"/>
    </row>
    <row r="22" ht="7.5" customHeight="1"/>
    <row r="23" spans="1:10">
      <c r="A23" s="19" t="s">
        <v>139</v>
      </c>
      <c r="B23" s="19"/>
      <c r="C23" s="19" t="s">
        <v>140</v>
      </c>
      <c r="D23" s="19"/>
      <c r="E23" s="19"/>
      <c r="F23" s="19"/>
      <c r="G23" s="19" t="s">
        <v>141</v>
      </c>
      <c r="H23" s="19"/>
      <c r="I23" s="19"/>
      <c r="J23" s="19"/>
    </row>
    <row r="25" ht="7.5" customHeight="1"/>
    <row r="28" spans="1:10">
      <c r="A28" s="20" t="str">
        <f>'KOMP-5'!A24:B24</f>
        <v>KHARISMA MEI RESIWATI, S.Pd.</v>
      </c>
      <c r="B28" s="20"/>
      <c r="C28" s="20" t="str">
        <f>'KOMP-5'!C24:F24</f>
        <v>BAHRUDIN,S.Pd,M.M</v>
      </c>
      <c r="D28" s="20"/>
      <c r="E28" s="20"/>
      <c r="F28" s="20"/>
      <c r="G28" s="20" t="str">
        <f>'KOMP-5'!G24:J24</f>
        <v>BAHRUDIN,S.Pd, M.M</v>
      </c>
      <c r="H28" s="20"/>
      <c r="I28" s="20"/>
      <c r="J28" s="20"/>
    </row>
    <row r="29" spans="1:10">
      <c r="A29" s="19" t="str">
        <f>'KOMP-5'!A25:B25</f>
        <v>NIP </v>
      </c>
      <c r="B29" s="19"/>
      <c r="C29" s="19" t="str">
        <f>'KOMP-5'!C25:F25</f>
        <v>NIP 196307191989031007</v>
      </c>
      <c r="D29" s="19"/>
      <c r="E29" s="19"/>
      <c r="F29" s="19"/>
      <c r="G29" s="19" t="str">
        <f>'KOMP-5'!G25:J25</f>
        <v>NIP 196307191989031007</v>
      </c>
      <c r="H29" s="19"/>
      <c r="I29" s="19"/>
      <c r="J29" s="19"/>
    </row>
  </sheetData>
  <sheetProtection password="CEC8" sheet="1" objects="1" scenarios="1"/>
  <mergeCells count="34">
    <mergeCell ref="A1:J1"/>
    <mergeCell ref="H2:J2"/>
    <mergeCell ref="B4:G4"/>
    <mergeCell ref="B5:G5"/>
    <mergeCell ref="B6:G6"/>
    <mergeCell ref="B7:G7"/>
    <mergeCell ref="B8:G8"/>
    <mergeCell ref="B9:G9"/>
    <mergeCell ref="B10:G10"/>
    <mergeCell ref="B11:G11"/>
    <mergeCell ref="B12:G12"/>
    <mergeCell ref="B13:G13"/>
    <mergeCell ref="B14:G14"/>
    <mergeCell ref="A15:G15"/>
    <mergeCell ref="H15:J15"/>
    <mergeCell ref="A16:G16"/>
    <mergeCell ref="H16:J16"/>
    <mergeCell ref="A17:G17"/>
    <mergeCell ref="H17:J17"/>
    <mergeCell ref="A18:G18"/>
    <mergeCell ref="A19:G19"/>
    <mergeCell ref="G21:I21"/>
    <mergeCell ref="A23:B23"/>
    <mergeCell ref="C23:F23"/>
    <mergeCell ref="G23:J23"/>
    <mergeCell ref="A28:B28"/>
    <mergeCell ref="C28:F28"/>
    <mergeCell ref="G28:J28"/>
    <mergeCell ref="A29:B29"/>
    <mergeCell ref="C29:F29"/>
    <mergeCell ref="G29:J29"/>
    <mergeCell ref="A2:A3"/>
    <mergeCell ref="H18:J19"/>
    <mergeCell ref="B2:G3"/>
  </mergeCells>
  <pageMargins left="0.95" right="0.42" top="0.33" bottom="0.53" header="0.27" footer="0.24"/>
  <pageSetup paperSize="9" orientation="portrait"/>
  <headerFooter>
    <oddFooter>&amp;RCreated by © prie</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M22"/>
  <sheetViews>
    <sheetView showGridLines="0" view="pageBreakPreview" zoomScale="115" zoomScaleNormal="100" workbookViewId="0">
      <selection activeCell="A1" sqref="A1:J1"/>
    </sheetView>
  </sheetViews>
  <sheetFormatPr defaultColWidth="9.14166666666667" defaultRowHeight="14.25"/>
  <cols>
    <col min="1" max="1" width="4" style="1" customWidth="1"/>
    <col min="2" max="2" width="25" style="1" customWidth="1"/>
    <col min="3" max="7" width="7.28333333333333" style="1" customWidth="1"/>
    <col min="8" max="10" width="6.70833333333333" style="1" customWidth="1"/>
    <col min="11" max="11" width="5.14166666666667" style="1" hidden="1" customWidth="1"/>
    <col min="12" max="12" width="0.283333333333333" style="1" customWidth="1"/>
    <col min="13" max="13" width="5.14166666666667" style="1" hidden="1" customWidth="1"/>
    <col min="14" max="16384" width="9.14166666666667" style="1"/>
  </cols>
  <sheetData>
    <row r="1" ht="25.5" customHeight="1" spans="1:10">
      <c r="A1" s="37" t="s">
        <v>179</v>
      </c>
      <c r="B1" s="37"/>
      <c r="C1" s="37"/>
      <c r="D1" s="37"/>
      <c r="E1" s="37"/>
      <c r="F1" s="37"/>
      <c r="G1" s="37"/>
      <c r="H1" s="37"/>
      <c r="I1" s="37"/>
      <c r="J1" s="37"/>
    </row>
    <row r="2" spans="1:10">
      <c r="A2" s="38" t="s">
        <v>92</v>
      </c>
      <c r="B2" s="4" t="s">
        <v>176</v>
      </c>
      <c r="C2" s="5"/>
      <c r="D2" s="5"/>
      <c r="E2" s="5"/>
      <c r="F2" s="5"/>
      <c r="G2" s="3"/>
      <c r="H2" s="21" t="s">
        <v>177</v>
      </c>
      <c r="I2" s="21"/>
      <c r="J2" s="21"/>
    </row>
    <row r="3" spans="1:10">
      <c r="A3" s="39"/>
      <c r="B3" s="7"/>
      <c r="C3" s="8"/>
      <c r="D3" s="8"/>
      <c r="E3" s="8"/>
      <c r="F3" s="8"/>
      <c r="G3" s="6"/>
      <c r="H3" s="22">
        <v>0</v>
      </c>
      <c r="I3" s="22">
        <v>1</v>
      </c>
      <c r="J3" s="22">
        <v>2</v>
      </c>
    </row>
    <row r="4" ht="17.25" customHeight="1" spans="1:10">
      <c r="A4" s="268" t="s">
        <v>95</v>
      </c>
      <c r="B4" s="10" t="s">
        <v>293</v>
      </c>
      <c r="C4" s="11"/>
      <c r="D4" s="11"/>
      <c r="E4" s="11"/>
      <c r="F4" s="11"/>
      <c r="G4" s="23"/>
      <c r="H4" s="24"/>
      <c r="I4" s="24"/>
      <c r="J4" s="24" t="s">
        <v>179</v>
      </c>
    </row>
    <row r="5" ht="44.25" customHeight="1" spans="1:10">
      <c r="A5" s="268" t="s">
        <v>98</v>
      </c>
      <c r="B5" s="10" t="s">
        <v>294</v>
      </c>
      <c r="C5" s="11"/>
      <c r="D5" s="11"/>
      <c r="E5" s="11"/>
      <c r="F5" s="11"/>
      <c r="G5" s="23"/>
      <c r="H5" s="24"/>
      <c r="I5" s="24" t="s">
        <v>179</v>
      </c>
      <c r="J5" s="24"/>
    </row>
    <row r="6" ht="29.25" customHeight="1" spans="1:10">
      <c r="A6" s="268" t="s">
        <v>101</v>
      </c>
      <c r="B6" s="10" t="s">
        <v>295</v>
      </c>
      <c r="C6" s="11"/>
      <c r="D6" s="11"/>
      <c r="E6" s="11"/>
      <c r="F6" s="11"/>
      <c r="G6" s="23"/>
      <c r="H6" s="24"/>
      <c r="I6" s="24"/>
      <c r="J6" s="24" t="s">
        <v>179</v>
      </c>
    </row>
    <row r="7" ht="73.5" customHeight="1" spans="1:10">
      <c r="A7" s="268" t="s">
        <v>104</v>
      </c>
      <c r="B7" s="10" t="s">
        <v>296</v>
      </c>
      <c r="C7" s="11"/>
      <c r="D7" s="11"/>
      <c r="E7" s="11"/>
      <c r="F7" s="11"/>
      <c r="G7" s="23"/>
      <c r="H7" s="24"/>
      <c r="I7" s="24" t="s">
        <v>179</v>
      </c>
      <c r="J7" s="24"/>
    </row>
    <row r="8" spans="1:13">
      <c r="A8" s="12" t="s">
        <v>297</v>
      </c>
      <c r="B8" s="13"/>
      <c r="C8" s="13"/>
      <c r="D8" s="13"/>
      <c r="E8" s="13"/>
      <c r="F8" s="13"/>
      <c r="G8" s="25"/>
      <c r="H8" s="26">
        <f>SUM(K8:M8)</f>
        <v>6</v>
      </c>
      <c r="I8" s="32"/>
      <c r="J8" s="33"/>
      <c r="K8" s="1">
        <f>COUNTIF(H4:H7,"v")*0</f>
        <v>0</v>
      </c>
      <c r="L8" s="1">
        <f t="shared" ref="L8" si="0">COUNTIF(I4:I7,"v")</f>
        <v>2</v>
      </c>
      <c r="M8" s="1">
        <f>COUNTIF(J4:J7,"v")*2</f>
        <v>4</v>
      </c>
    </row>
    <row r="9" spans="1:10">
      <c r="A9" s="12" t="s">
        <v>298</v>
      </c>
      <c r="B9" s="13"/>
      <c r="C9" s="13"/>
      <c r="D9" s="13"/>
      <c r="E9" s="13"/>
      <c r="F9" s="13"/>
      <c r="G9" s="25"/>
      <c r="H9" s="26">
        <v>8</v>
      </c>
      <c r="I9" s="32"/>
      <c r="J9" s="33"/>
    </row>
    <row r="10" spans="1:10">
      <c r="A10" s="12" t="s">
        <v>299</v>
      </c>
      <c r="B10" s="13"/>
      <c r="C10" s="13"/>
      <c r="D10" s="13"/>
      <c r="E10" s="13"/>
      <c r="F10" s="13"/>
      <c r="G10" s="25"/>
      <c r="H10" s="27">
        <f>H8/H9</f>
        <v>0.75</v>
      </c>
      <c r="I10" s="34"/>
      <c r="J10" s="35"/>
    </row>
    <row r="11" ht="15" customHeight="1" spans="1:10">
      <c r="A11" s="14" t="s">
        <v>300</v>
      </c>
      <c r="B11" s="15"/>
      <c r="C11" s="15"/>
      <c r="D11" s="15"/>
      <c r="E11" s="15"/>
      <c r="F11" s="15"/>
      <c r="G11" s="28"/>
      <c r="H11" s="4">
        <f>IF(H10&lt;=0.25,1,IF(H10&lt;=0.5,2,IF(H10&lt;=0.75,3,4)))</f>
        <v>3</v>
      </c>
      <c r="I11" s="5"/>
      <c r="J11" s="3"/>
    </row>
    <row r="12" ht="31.5" customHeight="1" spans="1:10">
      <c r="A12" s="269" t="s">
        <v>198</v>
      </c>
      <c r="B12" s="17"/>
      <c r="C12" s="17"/>
      <c r="D12" s="17"/>
      <c r="E12" s="17"/>
      <c r="F12" s="17"/>
      <c r="G12" s="29"/>
      <c r="H12" s="7"/>
      <c r="I12" s="8"/>
      <c r="J12" s="6"/>
    </row>
    <row r="14" spans="6:10">
      <c r="F14" s="30" t="str">
        <f>'KOMP-4'!F21</f>
        <v>Jakarta,</v>
      </c>
      <c r="G14" s="31" t="str">
        <f>'KOMP-4'!G21:I21</f>
        <v>20 September 2019</v>
      </c>
      <c r="H14" s="31"/>
      <c r="I14" s="31"/>
      <c r="J14" s="36"/>
    </row>
    <row r="15" customHeight="1"/>
    <row r="16" spans="1:10">
      <c r="A16" s="19" t="s">
        <v>139</v>
      </c>
      <c r="B16" s="19"/>
      <c r="C16" s="19" t="s">
        <v>140</v>
      </c>
      <c r="D16" s="19"/>
      <c r="E16" s="19"/>
      <c r="F16" s="19"/>
      <c r="G16" s="19" t="s">
        <v>141</v>
      </c>
      <c r="H16" s="19"/>
      <c r="I16" s="19"/>
      <c r="J16" s="19"/>
    </row>
    <row r="18" customHeight="1"/>
    <row r="21" spans="1:10">
      <c r="A21" s="20" t="str">
        <f>'KOMP-4'!A28:B28</f>
        <v>KHARISMA MEI RESIWATI, S.Pd.</v>
      </c>
      <c r="B21" s="20"/>
      <c r="C21" s="20" t="str">
        <f>'KOMP-4'!C28:F28</f>
        <v>BAHRUDIN,S.Pd,M.M</v>
      </c>
      <c r="D21" s="20"/>
      <c r="E21" s="20"/>
      <c r="F21" s="20"/>
      <c r="G21" s="20" t="str">
        <f>'KOMP-4'!G28:J28</f>
        <v>BAHRUDIN,S.Pd, M.M</v>
      </c>
      <c r="H21" s="20"/>
      <c r="I21" s="20"/>
      <c r="J21" s="20"/>
    </row>
    <row r="22" spans="1:10">
      <c r="A22" s="19" t="str">
        <f>'KOMP-4'!A29:B29</f>
        <v>NIP </v>
      </c>
      <c r="B22" s="19"/>
      <c r="C22" s="19" t="str">
        <f>'KOMP-4'!C29:F29</f>
        <v>NIP 196307191989031007</v>
      </c>
      <c r="D22" s="19"/>
      <c r="E22" s="19"/>
      <c r="F22" s="19"/>
      <c r="G22" s="19" t="str">
        <f>'KOMP-4'!G29:J29</f>
        <v>NIP 196307191989031007</v>
      </c>
      <c r="H22" s="19"/>
      <c r="I22" s="19"/>
      <c r="J22" s="19"/>
    </row>
  </sheetData>
  <sheetProtection password="CEC8" sheet="1" objects="1" scenarios="1"/>
  <mergeCells count="27">
    <mergeCell ref="A1:J1"/>
    <mergeCell ref="H2:J2"/>
    <mergeCell ref="B4:G4"/>
    <mergeCell ref="B5:G5"/>
    <mergeCell ref="B6:G6"/>
    <mergeCell ref="B7:G7"/>
    <mergeCell ref="A8:G8"/>
    <mergeCell ref="H8:J8"/>
    <mergeCell ref="A9:G9"/>
    <mergeCell ref="H9:J9"/>
    <mergeCell ref="A10:G10"/>
    <mergeCell ref="H10:J10"/>
    <mergeCell ref="A11:G11"/>
    <mergeCell ref="A12:G12"/>
    <mergeCell ref="G14:I14"/>
    <mergeCell ref="A16:B16"/>
    <mergeCell ref="C16:F16"/>
    <mergeCell ref="G16:J16"/>
    <mergeCell ref="A21:B21"/>
    <mergeCell ref="C21:F21"/>
    <mergeCell ref="G21:J21"/>
    <mergeCell ref="A22:B22"/>
    <mergeCell ref="C22:F22"/>
    <mergeCell ref="G22:J22"/>
    <mergeCell ref="A2:A3"/>
    <mergeCell ref="H11:J12"/>
    <mergeCell ref="B2:G3"/>
  </mergeCells>
  <pageMargins left="1.14" right="0.25" top="0.748031496062992" bottom="0.86" header="0.31496062992126" footer="0.55"/>
  <pageSetup paperSize="9" orientation="portrait"/>
  <headerFooter>
    <oddFooter>&amp;RCreated by © prie</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M24"/>
  <sheetViews>
    <sheetView showGridLines="0" view="pageBreakPreview" zoomScale="115" zoomScaleNormal="100" workbookViewId="0">
      <selection activeCell="J9" sqref="J9"/>
    </sheetView>
  </sheetViews>
  <sheetFormatPr defaultColWidth="9.14166666666667" defaultRowHeight="14.25"/>
  <cols>
    <col min="1" max="1" width="4" style="1" customWidth="1"/>
    <col min="2" max="2" width="25" style="1" customWidth="1"/>
    <col min="3" max="7" width="7.28333333333333" style="1" customWidth="1"/>
    <col min="8" max="9" width="6.70833333333333" style="1" customWidth="1"/>
    <col min="10" max="10" width="6.56666666666667" style="1" customWidth="1"/>
    <col min="11" max="11" width="4" style="1" hidden="1" customWidth="1"/>
    <col min="12" max="12" width="0.283333333333333" style="1" customWidth="1"/>
    <col min="13" max="13" width="4.70833333333333" style="1" hidden="1" customWidth="1"/>
    <col min="14" max="16384" width="9.14166666666667" style="1"/>
  </cols>
  <sheetData>
    <row r="1" ht="32.25" customHeight="1" spans="1:10">
      <c r="A1" s="37" t="s">
        <v>301</v>
      </c>
      <c r="B1" s="37"/>
      <c r="C1" s="37"/>
      <c r="D1" s="37"/>
      <c r="E1" s="37"/>
      <c r="F1" s="37"/>
      <c r="G1" s="37"/>
      <c r="H1" s="37"/>
      <c r="I1" s="37"/>
      <c r="J1" s="37"/>
    </row>
    <row r="2" spans="1:10">
      <c r="A2" s="3" t="s">
        <v>92</v>
      </c>
      <c r="B2" s="4" t="s">
        <v>176</v>
      </c>
      <c r="C2" s="5"/>
      <c r="D2" s="5"/>
      <c r="E2" s="5"/>
      <c r="F2" s="5"/>
      <c r="G2" s="3"/>
      <c r="H2" s="21" t="s">
        <v>177</v>
      </c>
      <c r="I2" s="21"/>
      <c r="J2" s="21"/>
    </row>
    <row r="3" spans="1:10">
      <c r="A3" s="6"/>
      <c r="B3" s="7"/>
      <c r="C3" s="8"/>
      <c r="D3" s="8"/>
      <c r="E3" s="8"/>
      <c r="F3" s="8"/>
      <c r="G3" s="6"/>
      <c r="H3" s="22">
        <v>0</v>
      </c>
      <c r="I3" s="22">
        <v>1</v>
      </c>
      <c r="J3" s="22">
        <v>2</v>
      </c>
    </row>
    <row r="4" ht="56.25" customHeight="1" spans="1:10">
      <c r="A4" s="268" t="s">
        <v>95</v>
      </c>
      <c r="B4" s="10" t="s">
        <v>302</v>
      </c>
      <c r="C4" s="11"/>
      <c r="D4" s="11"/>
      <c r="E4" s="11"/>
      <c r="F4" s="11"/>
      <c r="G4" s="23"/>
      <c r="H4" s="24"/>
      <c r="I4" s="24" t="s">
        <v>179</v>
      </c>
      <c r="J4" s="24"/>
    </row>
    <row r="5" ht="45.75" customHeight="1" spans="1:10">
      <c r="A5" s="268" t="s">
        <v>98</v>
      </c>
      <c r="B5" s="10" t="s">
        <v>303</v>
      </c>
      <c r="C5" s="11"/>
      <c r="D5" s="11"/>
      <c r="E5" s="11"/>
      <c r="F5" s="11"/>
      <c r="G5" s="23"/>
      <c r="H5" s="24"/>
      <c r="I5" s="24"/>
      <c r="J5" s="24" t="s">
        <v>179</v>
      </c>
    </row>
    <row r="6" ht="44.25" customHeight="1" spans="1:10">
      <c r="A6" s="268" t="s">
        <v>101</v>
      </c>
      <c r="B6" s="10" t="s">
        <v>304</v>
      </c>
      <c r="C6" s="11"/>
      <c r="D6" s="11"/>
      <c r="E6" s="11"/>
      <c r="F6" s="11"/>
      <c r="G6" s="23"/>
      <c r="H6" s="24"/>
      <c r="I6" s="24"/>
      <c r="J6" s="24" t="s">
        <v>179</v>
      </c>
    </row>
    <row r="7" ht="28.5" customHeight="1" spans="1:10">
      <c r="A7" s="268" t="s">
        <v>104</v>
      </c>
      <c r="B7" s="10" t="s">
        <v>305</v>
      </c>
      <c r="C7" s="11"/>
      <c r="D7" s="11"/>
      <c r="E7" s="11"/>
      <c r="F7" s="11"/>
      <c r="G7" s="23"/>
      <c r="H7" s="24"/>
      <c r="I7" s="24"/>
      <c r="J7" s="24" t="s">
        <v>179</v>
      </c>
    </row>
    <row r="8" ht="45" customHeight="1" spans="1:10">
      <c r="A8" s="268" t="s">
        <v>107</v>
      </c>
      <c r="B8" s="10" t="s">
        <v>306</v>
      </c>
      <c r="C8" s="11"/>
      <c r="D8" s="11"/>
      <c r="E8" s="11"/>
      <c r="F8" s="11"/>
      <c r="G8" s="23"/>
      <c r="H8" s="24"/>
      <c r="I8" s="24" t="s">
        <v>179</v>
      </c>
      <c r="J8" s="24"/>
    </row>
    <row r="9" ht="59.25" customHeight="1" spans="1:10">
      <c r="A9" s="268" t="s">
        <v>110</v>
      </c>
      <c r="B9" s="10" t="s">
        <v>307</v>
      </c>
      <c r="C9" s="11"/>
      <c r="D9" s="11"/>
      <c r="E9" s="11"/>
      <c r="F9" s="11"/>
      <c r="G9" s="23"/>
      <c r="H9" s="24"/>
      <c r="I9" s="24"/>
      <c r="J9" s="24" t="s">
        <v>179</v>
      </c>
    </row>
    <row r="10" spans="1:13">
      <c r="A10" s="12" t="s">
        <v>308</v>
      </c>
      <c r="B10" s="13"/>
      <c r="C10" s="13"/>
      <c r="D10" s="13"/>
      <c r="E10" s="13"/>
      <c r="F10" s="13"/>
      <c r="G10" s="25"/>
      <c r="H10" s="26">
        <f>SUM(K10:M10)</f>
        <v>10</v>
      </c>
      <c r="I10" s="32"/>
      <c r="J10" s="33"/>
      <c r="K10" s="1">
        <f>COUNTIF(H4:H9,"v")*0</f>
        <v>0</v>
      </c>
      <c r="L10" s="1">
        <f t="shared" ref="L10" si="0">COUNTIF(I4:I9,"v")</f>
        <v>2</v>
      </c>
      <c r="M10" s="1">
        <f>COUNTIF(J4:J9,"v")*2</f>
        <v>8</v>
      </c>
    </row>
    <row r="11" spans="1:10">
      <c r="A11" s="12" t="s">
        <v>309</v>
      </c>
      <c r="B11" s="13"/>
      <c r="C11" s="13"/>
      <c r="D11" s="13"/>
      <c r="E11" s="13"/>
      <c r="F11" s="13"/>
      <c r="G11" s="25"/>
      <c r="H11" s="26">
        <v>12</v>
      </c>
      <c r="I11" s="32"/>
      <c r="J11" s="33"/>
    </row>
    <row r="12" spans="1:10">
      <c r="A12" s="12" t="s">
        <v>187</v>
      </c>
      <c r="B12" s="13"/>
      <c r="C12" s="13"/>
      <c r="D12" s="13"/>
      <c r="E12" s="13"/>
      <c r="F12" s="13"/>
      <c r="G12" s="25"/>
      <c r="H12" s="27">
        <f>H10/H11</f>
        <v>0.833333333333333</v>
      </c>
      <c r="I12" s="34"/>
      <c r="J12" s="35"/>
    </row>
    <row r="13" ht="15" customHeight="1" spans="1:10">
      <c r="A13" s="14" t="s">
        <v>310</v>
      </c>
      <c r="B13" s="15"/>
      <c r="C13" s="15"/>
      <c r="D13" s="15"/>
      <c r="E13" s="15"/>
      <c r="F13" s="15"/>
      <c r="G13" s="28"/>
      <c r="H13" s="4">
        <f>IF(H12&lt;=0.25,1,IF(H12&lt;=0.5,2,IF(H12&lt;=0.75,3,4)))</f>
        <v>4</v>
      </c>
      <c r="I13" s="5"/>
      <c r="J13" s="3"/>
    </row>
    <row r="14" ht="31.5" customHeight="1" spans="1:10">
      <c r="A14" s="269" t="s">
        <v>198</v>
      </c>
      <c r="B14" s="17"/>
      <c r="C14" s="17"/>
      <c r="D14" s="17"/>
      <c r="E14" s="17"/>
      <c r="F14" s="17"/>
      <c r="G14" s="29"/>
      <c r="H14" s="7"/>
      <c r="I14" s="8"/>
      <c r="J14" s="6"/>
    </row>
    <row r="16" spans="6:10">
      <c r="F16" s="30" t="str">
        <f>'KOMP-3'!F14</f>
        <v>Jakarta,</v>
      </c>
      <c r="G16" s="31" t="str">
        <f>'KOMP-3'!G14:I14</f>
        <v>20 September 2019</v>
      </c>
      <c r="H16" s="31"/>
      <c r="I16" s="31"/>
      <c r="J16" s="36"/>
    </row>
    <row r="17" customHeight="1"/>
    <row r="18" spans="1:10">
      <c r="A18" s="19" t="s">
        <v>139</v>
      </c>
      <c r="B18" s="19"/>
      <c r="C18" s="19" t="s">
        <v>140</v>
      </c>
      <c r="D18" s="19"/>
      <c r="E18" s="19"/>
      <c r="F18" s="19"/>
      <c r="G18" s="19" t="s">
        <v>141</v>
      </c>
      <c r="H18" s="19"/>
      <c r="I18" s="19"/>
      <c r="J18" s="19"/>
    </row>
    <row r="20" customHeight="1"/>
    <row r="23" spans="1:10">
      <c r="A23" s="20" t="str">
        <f>'KOMP-3'!A21:B21</f>
        <v>KHARISMA MEI RESIWATI, S.Pd.</v>
      </c>
      <c r="B23" s="20"/>
      <c r="C23" s="20" t="str">
        <f>'KOMP-3'!C21:F21</f>
        <v>BAHRUDIN,S.Pd,M.M</v>
      </c>
      <c r="D23" s="20"/>
      <c r="E23" s="20"/>
      <c r="F23" s="20"/>
      <c r="G23" s="20" t="str">
        <f>'KOMP-3'!G21:J21</f>
        <v>BAHRUDIN,S.Pd, M.M</v>
      </c>
      <c r="H23" s="20"/>
      <c r="I23" s="20"/>
      <c r="J23" s="20"/>
    </row>
    <row r="24" spans="1:10">
      <c r="A24" s="19" t="str">
        <f>'KOMP-3'!A22:B22</f>
        <v>NIP </v>
      </c>
      <c r="B24" s="19"/>
      <c r="C24" s="19" t="str">
        <f>'KOMP-3'!C22:F22</f>
        <v>NIP 196307191989031007</v>
      </c>
      <c r="D24" s="19"/>
      <c r="E24" s="19"/>
      <c r="F24" s="19"/>
      <c r="G24" s="19" t="str">
        <f>'KOMP-3'!G22:J22</f>
        <v>NIP 196307191989031007</v>
      </c>
      <c r="H24" s="19"/>
      <c r="I24" s="19"/>
      <c r="J24" s="19"/>
    </row>
  </sheetData>
  <sheetProtection sheet="1" objects="1" scenarios="1"/>
  <mergeCells count="29">
    <mergeCell ref="A1:J1"/>
    <mergeCell ref="H2:J2"/>
    <mergeCell ref="B4:G4"/>
    <mergeCell ref="B5:G5"/>
    <mergeCell ref="B6:G6"/>
    <mergeCell ref="B7:G7"/>
    <mergeCell ref="B8:G8"/>
    <mergeCell ref="B9:G9"/>
    <mergeCell ref="A10:G10"/>
    <mergeCell ref="H10:J10"/>
    <mergeCell ref="A11:G11"/>
    <mergeCell ref="H11:J11"/>
    <mergeCell ref="A12:G12"/>
    <mergeCell ref="H12:J12"/>
    <mergeCell ref="A13:G13"/>
    <mergeCell ref="A14:G14"/>
    <mergeCell ref="G16:I16"/>
    <mergeCell ref="A18:B18"/>
    <mergeCell ref="C18:F18"/>
    <mergeCell ref="G18:J18"/>
    <mergeCell ref="A23:B23"/>
    <mergeCell ref="C23:F23"/>
    <mergeCell ref="G23:J23"/>
    <mergeCell ref="A24:B24"/>
    <mergeCell ref="C24:F24"/>
    <mergeCell ref="G24:J24"/>
    <mergeCell ref="A2:A3"/>
    <mergeCell ref="B2:G3"/>
    <mergeCell ref="H13:J14"/>
  </mergeCells>
  <pageMargins left="1.08" right="0.35" top="0.748031496062992" bottom="2.07" header="0.31496062992126" footer="0.67"/>
  <pageSetup paperSize="9" orientation="portrait"/>
  <headerFooter>
    <oddFooter>&amp;RCreated by © prie</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M24"/>
  <sheetViews>
    <sheetView showGridLines="0" view="pageBreakPreview" zoomScale="115" zoomScaleNormal="100" workbookViewId="0">
      <selection activeCell="A1" sqref="A1:J1"/>
    </sheetView>
  </sheetViews>
  <sheetFormatPr defaultColWidth="9.14166666666667" defaultRowHeight="14.25"/>
  <cols>
    <col min="1" max="1" width="4" style="1" customWidth="1"/>
    <col min="2" max="2" width="25" style="1" customWidth="1"/>
    <col min="3" max="7" width="7.28333333333333" style="1" customWidth="1"/>
    <col min="8" max="10" width="6.70833333333333" style="1" customWidth="1"/>
    <col min="11" max="12" width="0.141666666666667" style="1" customWidth="1"/>
    <col min="13" max="13" width="4.425" style="1" hidden="1" customWidth="1"/>
    <col min="14" max="16384" width="9.14166666666667" style="1"/>
  </cols>
  <sheetData>
    <row r="1" ht="20.25" customHeight="1" spans="1:11">
      <c r="A1" s="2" t="s">
        <v>311</v>
      </c>
      <c r="B1" s="2"/>
      <c r="C1" s="2"/>
      <c r="D1" s="2"/>
      <c r="E1" s="2"/>
      <c r="F1" s="2"/>
      <c r="G1" s="2"/>
      <c r="H1" s="2"/>
      <c r="I1" s="2"/>
      <c r="J1" s="2"/>
      <c r="K1" s="1" t="s">
        <v>179</v>
      </c>
    </row>
    <row r="2" spans="1:10">
      <c r="A2" s="3" t="s">
        <v>92</v>
      </c>
      <c r="B2" s="4" t="s">
        <v>176</v>
      </c>
      <c r="C2" s="5"/>
      <c r="D2" s="5"/>
      <c r="E2" s="5"/>
      <c r="F2" s="5"/>
      <c r="G2" s="3"/>
      <c r="H2" s="21" t="s">
        <v>177</v>
      </c>
      <c r="I2" s="21"/>
      <c r="J2" s="21"/>
    </row>
    <row r="3" spans="1:10">
      <c r="A3" s="6"/>
      <c r="B3" s="7"/>
      <c r="C3" s="8"/>
      <c r="D3" s="8"/>
      <c r="E3" s="8"/>
      <c r="F3" s="8"/>
      <c r="G3" s="6"/>
      <c r="H3" s="22">
        <v>0</v>
      </c>
      <c r="I3" s="22">
        <v>1</v>
      </c>
      <c r="J3" s="22">
        <v>2</v>
      </c>
    </row>
    <row r="4" ht="30.75" customHeight="1" spans="1:10">
      <c r="A4" s="268" t="s">
        <v>95</v>
      </c>
      <c r="B4" s="10" t="s">
        <v>312</v>
      </c>
      <c r="C4" s="11"/>
      <c r="D4" s="11"/>
      <c r="E4" s="11"/>
      <c r="F4" s="11"/>
      <c r="G4" s="23"/>
      <c r="H4" s="24"/>
      <c r="I4" s="24"/>
      <c r="J4" s="24" t="s">
        <v>179</v>
      </c>
    </row>
    <row r="5" ht="45" customHeight="1" spans="1:10">
      <c r="A5" s="268" t="s">
        <v>98</v>
      </c>
      <c r="B5" s="10" t="s">
        <v>313</v>
      </c>
      <c r="C5" s="11"/>
      <c r="D5" s="11"/>
      <c r="E5" s="11"/>
      <c r="F5" s="11"/>
      <c r="G5" s="23"/>
      <c r="H5" s="24"/>
      <c r="I5" s="24"/>
      <c r="J5" s="24" t="s">
        <v>179</v>
      </c>
    </row>
    <row r="6" ht="45" customHeight="1" spans="1:10">
      <c r="A6" s="268" t="s">
        <v>101</v>
      </c>
      <c r="B6" s="10" t="s">
        <v>314</v>
      </c>
      <c r="C6" s="11"/>
      <c r="D6" s="11"/>
      <c r="E6" s="11"/>
      <c r="F6" s="11"/>
      <c r="G6" s="23"/>
      <c r="H6" s="24"/>
      <c r="I6" s="24"/>
      <c r="J6" s="24" t="s">
        <v>179</v>
      </c>
    </row>
    <row r="7" ht="46.5" customHeight="1" spans="1:10">
      <c r="A7" s="268" t="s">
        <v>104</v>
      </c>
      <c r="B7" s="10" t="s">
        <v>315</v>
      </c>
      <c r="C7" s="11"/>
      <c r="D7" s="11"/>
      <c r="E7" s="11"/>
      <c r="F7" s="11"/>
      <c r="G7" s="23"/>
      <c r="H7" s="24"/>
      <c r="I7" s="24"/>
      <c r="J7" s="24" t="s">
        <v>179</v>
      </c>
    </row>
    <row r="8" ht="29.25" customHeight="1" spans="1:10">
      <c r="A8" s="268" t="s">
        <v>107</v>
      </c>
      <c r="B8" s="10" t="s">
        <v>316</v>
      </c>
      <c r="C8" s="11"/>
      <c r="D8" s="11"/>
      <c r="E8" s="11"/>
      <c r="F8" s="11"/>
      <c r="G8" s="23"/>
      <c r="H8" s="24"/>
      <c r="I8" s="24" t="s">
        <v>179</v>
      </c>
      <c r="J8" s="24"/>
    </row>
    <row r="9" ht="46.5" customHeight="1" spans="1:10">
      <c r="A9" s="268" t="s">
        <v>110</v>
      </c>
      <c r="B9" s="10" t="s">
        <v>317</v>
      </c>
      <c r="C9" s="11"/>
      <c r="D9" s="11"/>
      <c r="E9" s="11"/>
      <c r="F9" s="11"/>
      <c r="G9" s="23"/>
      <c r="H9" s="24"/>
      <c r="I9" s="24"/>
      <c r="J9" s="24" t="s">
        <v>179</v>
      </c>
    </row>
    <row r="10" spans="1:13">
      <c r="A10" s="12" t="s">
        <v>318</v>
      </c>
      <c r="B10" s="13"/>
      <c r="C10" s="13"/>
      <c r="D10" s="13"/>
      <c r="E10" s="13"/>
      <c r="F10" s="13"/>
      <c r="G10" s="25"/>
      <c r="H10" s="26">
        <f>SUM(K10:M10)</f>
        <v>11</v>
      </c>
      <c r="I10" s="32"/>
      <c r="J10" s="33"/>
      <c r="K10" s="1">
        <f>COUNTIF(H4:H9,"v")*0</f>
        <v>0</v>
      </c>
      <c r="L10" s="1">
        <f t="shared" ref="L10" si="0">COUNTIF(I4:I9,"v")</f>
        <v>1</v>
      </c>
      <c r="M10" s="1">
        <f>COUNTIF(J4:J9,"v")*2</f>
        <v>10</v>
      </c>
    </row>
    <row r="11" spans="1:10">
      <c r="A11" s="12" t="s">
        <v>319</v>
      </c>
      <c r="B11" s="13"/>
      <c r="C11" s="13"/>
      <c r="D11" s="13"/>
      <c r="E11" s="13"/>
      <c r="F11" s="13"/>
      <c r="G11" s="25"/>
      <c r="H11" s="26">
        <v>12</v>
      </c>
      <c r="I11" s="32"/>
      <c r="J11" s="33"/>
    </row>
    <row r="12" spans="1:10">
      <c r="A12" s="12" t="s">
        <v>187</v>
      </c>
      <c r="B12" s="13"/>
      <c r="C12" s="13"/>
      <c r="D12" s="13"/>
      <c r="E12" s="13"/>
      <c r="F12" s="13"/>
      <c r="G12" s="25"/>
      <c r="H12" s="27">
        <f>H10/H11</f>
        <v>0.916666666666667</v>
      </c>
      <c r="I12" s="34"/>
      <c r="J12" s="35"/>
    </row>
    <row r="13" ht="15" customHeight="1" spans="1:10">
      <c r="A13" s="14" t="s">
        <v>320</v>
      </c>
      <c r="B13" s="15"/>
      <c r="C13" s="15"/>
      <c r="D13" s="15"/>
      <c r="E13" s="15"/>
      <c r="F13" s="15"/>
      <c r="G13" s="28"/>
      <c r="H13" s="4">
        <f>IF(H12&lt;=0.25,1,IF(H12&lt;=0.5,2,IF(H12&lt;=0.75,3,4)))</f>
        <v>4</v>
      </c>
      <c r="I13" s="5"/>
      <c r="J13" s="3"/>
    </row>
    <row r="14" ht="31.5" customHeight="1" spans="1:10">
      <c r="A14" s="269" t="s">
        <v>198</v>
      </c>
      <c r="B14" s="17"/>
      <c r="C14" s="17"/>
      <c r="D14" s="17"/>
      <c r="E14" s="17"/>
      <c r="F14" s="17"/>
      <c r="G14" s="29"/>
      <c r="H14" s="7"/>
      <c r="I14" s="8"/>
      <c r="J14" s="6"/>
    </row>
    <row r="15" spans="1:1">
      <c r="A15" s="18"/>
    </row>
    <row r="16" spans="6:10">
      <c r="F16" s="30" t="str">
        <f>'KOMP-3'!F14</f>
        <v>Jakarta,</v>
      </c>
      <c r="G16" s="31" t="str">
        <f>'KOMP-2'!G16:I16</f>
        <v>20 September 2019</v>
      </c>
      <c r="H16" s="31"/>
      <c r="I16" s="31"/>
      <c r="J16" s="36"/>
    </row>
    <row r="17" customHeight="1"/>
    <row r="18" spans="1:10">
      <c r="A18" s="19" t="s">
        <v>139</v>
      </c>
      <c r="B18" s="19"/>
      <c r="C18" s="19" t="s">
        <v>140</v>
      </c>
      <c r="D18" s="19"/>
      <c r="E18" s="19"/>
      <c r="F18" s="19"/>
      <c r="G18" s="19" t="s">
        <v>141</v>
      </c>
      <c r="H18" s="19"/>
      <c r="I18" s="19"/>
      <c r="J18" s="19"/>
    </row>
    <row r="20" customHeight="1"/>
    <row r="23" spans="1:10">
      <c r="A23" s="20" t="str">
        <f>'KOMP-3'!A21:B21</f>
        <v>KHARISMA MEI RESIWATI, S.Pd.</v>
      </c>
      <c r="B23" s="20"/>
      <c r="C23" s="20" t="str">
        <f>'KOMP-3'!C21:F21</f>
        <v>BAHRUDIN,S.Pd,M.M</v>
      </c>
      <c r="D23" s="20"/>
      <c r="E23" s="20"/>
      <c r="F23" s="20"/>
      <c r="G23" s="20" t="str">
        <f>'KOMP-3'!G21:J21</f>
        <v>BAHRUDIN,S.Pd, M.M</v>
      </c>
      <c r="H23" s="20"/>
      <c r="I23" s="20"/>
      <c r="J23" s="20"/>
    </row>
    <row r="24" spans="1:10">
      <c r="A24" s="19" t="str">
        <f>'KOMP-3'!A22:B22</f>
        <v>NIP </v>
      </c>
      <c r="B24" s="19"/>
      <c r="C24" s="19" t="str">
        <f>'KOMP-3'!C22:F22</f>
        <v>NIP 196307191989031007</v>
      </c>
      <c r="D24" s="19"/>
      <c r="E24" s="19"/>
      <c r="F24" s="19"/>
      <c r="G24" s="19" t="str">
        <f>'KOMP-3'!G22:J22</f>
        <v>NIP 196307191989031007</v>
      </c>
      <c r="H24" s="19"/>
      <c r="I24" s="19"/>
      <c r="J24" s="19"/>
    </row>
  </sheetData>
  <sheetProtection password="CEC8" sheet="1" objects="1" scenarios="1"/>
  <mergeCells count="29">
    <mergeCell ref="A1:J1"/>
    <mergeCell ref="H2:J2"/>
    <mergeCell ref="B4:G4"/>
    <mergeCell ref="B5:G5"/>
    <mergeCell ref="B6:G6"/>
    <mergeCell ref="B7:G7"/>
    <mergeCell ref="B8:G8"/>
    <mergeCell ref="B9:G9"/>
    <mergeCell ref="A10:G10"/>
    <mergeCell ref="H10:J10"/>
    <mergeCell ref="A11:G11"/>
    <mergeCell ref="H11:J11"/>
    <mergeCell ref="A12:G12"/>
    <mergeCell ref="H12:J12"/>
    <mergeCell ref="A13:G13"/>
    <mergeCell ref="A14:G14"/>
    <mergeCell ref="G16:I16"/>
    <mergeCell ref="A18:B18"/>
    <mergeCell ref="C18:F18"/>
    <mergeCell ref="G18:J18"/>
    <mergeCell ref="A23:B23"/>
    <mergeCell ref="C23:F23"/>
    <mergeCell ref="G23:J23"/>
    <mergeCell ref="A24:B24"/>
    <mergeCell ref="C24:F24"/>
    <mergeCell ref="G24:J24"/>
    <mergeCell ref="A2:A3"/>
    <mergeCell ref="H13:J14"/>
    <mergeCell ref="B2:G3"/>
  </mergeCells>
  <pageMargins left="1.04" right="0.41" top="0.748031496062992" bottom="0.84" header="0.31496062992126" footer="0.53"/>
  <pageSetup paperSize="9" orientation="portrait"/>
  <headerFooter>
    <oddFooter>&amp;RCreated by © prie</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0" master=""/>
  <rangeList sheetStid="23" master=""/>
  <rangeList sheetStid="24" master=""/>
  <rangeList sheetStid="21" master=""/>
  <rangeList sheetStid="22" master="">
    <arrUserId title="Range1_1_2" rangeCreator="" othersAccessPermission="edit"/>
  </rangeList>
  <rangeList sheetStid="16" master=""/>
  <rangeList sheetStid="15" master=""/>
  <rangeList sheetStid="14" master=""/>
  <rangeList sheetStid="13" master=""/>
  <rangeList sheetStid="12" master=""/>
  <rangeList sheetStid="11" master=""/>
  <rangeList sheetStid="10" master=""/>
  <rangeList sheetStid="9" master=""/>
  <rangeList sheetStid="8" master=""/>
  <rangeList sheetStid="7" master=""/>
  <rangeList sheetStid="6" master=""/>
  <rangeList sheetStid="5" master=""/>
  <rangeList sheetStid="4" master=""/>
  <rangeList sheetStid="1"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19</vt:i4>
      </vt:variant>
    </vt:vector>
  </HeadingPairs>
  <TitlesOfParts>
    <vt:vector size="19" baseType="lpstr">
      <vt:lpstr>IDENTITAS</vt:lpstr>
      <vt:lpstr>COVER</vt:lpstr>
      <vt:lpstr>SETUJU</vt:lpstr>
      <vt:lpstr>FORMAT 1C</vt:lpstr>
      <vt:lpstr>FORMAT 1D</vt:lpstr>
      <vt:lpstr>KOMP-14</vt:lpstr>
      <vt:lpstr>KOMP-13</vt:lpstr>
      <vt:lpstr>KOMP-12</vt:lpstr>
      <vt:lpstr>KOMP-11</vt:lpstr>
      <vt:lpstr>KOMP-10</vt:lpstr>
      <vt:lpstr>KOMP-9</vt:lpstr>
      <vt:lpstr>KOMP-8</vt:lpstr>
      <vt:lpstr>KOMP-7</vt:lpstr>
      <vt:lpstr>KOMP-6</vt:lpstr>
      <vt:lpstr>KOMP-5</vt:lpstr>
      <vt:lpstr>KOMP-4</vt:lpstr>
      <vt:lpstr>KOMP-3</vt:lpstr>
      <vt:lpstr>KOMP-2</vt:lpstr>
      <vt:lpstr>KOMP-1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SAMSUNG</dc:creator>
  <cp:lastModifiedBy>arif</cp:lastModifiedBy>
  <dcterms:created xsi:type="dcterms:W3CDTF">2013-11-13T21:09:00Z</dcterms:created>
  <cp:lastPrinted>2019-10-01T02:15:00Z</cp:lastPrinted>
  <dcterms:modified xsi:type="dcterms:W3CDTF">2023-07-22T17:26:54Z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
  </property>
  <property fmtid="{D5CDD505-2E9C-101B-9397-08002B2CF9AE}" pid="3" name="KSOProductBuildVer">
    <vt:lpwstr>1033-11.1.0.11698</vt:lpwstr>
  </property>
</Properties>
</file>